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b3d33ad740ef8cb/Documents/"/>
    </mc:Choice>
  </mc:AlternateContent>
  <xr:revisionPtr revIDLastSave="112" documentId="8_{2AB544C2-D226-4DFC-83D6-DD7326C08EA3}" xr6:coauthVersionLast="47" xr6:coauthVersionMax="47" xr10:uidLastSave="{BDE26B58-75BC-48D0-BFF6-E56E8C9126A2}"/>
  <bookViews>
    <workbookView xWindow="-108" yWindow="-108" windowWidth="23256" windowHeight="12456" activeTab="1" xr2:uid="{8B7DAC64-16AA-4BEB-8A25-15AF94658B92}"/>
  </bookViews>
  <sheets>
    <sheet name="excel_practice_dataset" sheetId="1" r:id="rId1"/>
    <sheet name="Dashboard" sheetId="2" r:id="rId2"/>
  </sheets>
  <definedNames>
    <definedName name="_xlnm._FilterDatabase" localSheetId="0" hidden="1">excel_practice_dataset!$I$1:$Q$51</definedName>
    <definedName name="Slicer_Region">#N/A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N25" i="2"/>
  <c r="N24" i="2"/>
  <c r="N23" i="2"/>
  <c r="N22" i="2"/>
  <c r="N21" i="2"/>
  <c r="N20" i="2"/>
  <c r="N19" i="2"/>
  <c r="J15" i="2"/>
  <c r="J14" i="2"/>
  <c r="J5" i="2"/>
  <c r="D5"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2" i="1"/>
  <c r="M2" i="1" a="1"/>
  <c r="L2" i="1" a="1"/>
  <c r="K2" i="1" a="1"/>
  <c r="K2" i="1" s="1"/>
  <c r="J2" i="1" a="1"/>
  <c r="I2" i="1" a="1"/>
  <c r="I2" i="1" s="1"/>
  <c r="N18" i="2" l="1"/>
  <c r="N16" i="2"/>
  <c r="N15" i="2"/>
  <c r="N14" i="2"/>
  <c r="N17" i="2"/>
  <c r="M2" i="1"/>
  <c r="B14" i="2"/>
  <c r="B17" i="2"/>
  <c r="B15" i="2"/>
  <c r="B16" i="2"/>
  <c r="L2" i="1"/>
  <c r="F14" i="2"/>
  <c r="F15" i="2"/>
  <c r="F16" i="2"/>
  <c r="M5" i="2"/>
  <c r="J2" i="1"/>
  <c r="G5" i="2" s="1"/>
  <c r="A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<sst xmlns="http://schemas.openxmlformats.org/spreadsheetml/2006/main" count="271" uniqueCount="113">
  <si>
    <t>Customer_ID</t>
  </si>
  <si>
    <t>Customer_Name</t>
  </si>
  <si>
    <t>Product_Category</t>
  </si>
  <si>
    <t>Region</t>
  </si>
  <si>
    <t>Join_Date</t>
  </si>
  <si>
    <t>Order_Date</t>
  </si>
  <si>
    <t>Shipping_Date</t>
  </si>
  <si>
    <t>CUST1001</t>
  </si>
  <si>
    <t>ANITA sharma</t>
  </si>
  <si>
    <t>FURNITURE</t>
  </si>
  <si>
    <t xml:space="preserve">north </t>
  </si>
  <si>
    <t>CUST1002</t>
  </si>
  <si>
    <t xml:space="preserve">  sneha  gupta </t>
  </si>
  <si>
    <t>clothing</t>
  </si>
  <si>
    <t>CUST1003</t>
  </si>
  <si>
    <t>electronics</t>
  </si>
  <si>
    <t>east</t>
  </si>
  <si>
    <t>CUST1004</t>
  </si>
  <si>
    <t xml:space="preserve">  john   doe </t>
  </si>
  <si>
    <t>CUST1005</t>
  </si>
  <si>
    <t>vikas KUMAR</t>
  </si>
  <si>
    <t>Electronics</t>
  </si>
  <si>
    <t>north</t>
  </si>
  <si>
    <t>CUST1006</t>
  </si>
  <si>
    <t>CUST1007</t>
  </si>
  <si>
    <t>CUST1008</t>
  </si>
  <si>
    <t>CUST1009</t>
  </si>
  <si>
    <t>CUST1010</t>
  </si>
  <si>
    <t>CUST1011</t>
  </si>
  <si>
    <t>WEST</t>
  </si>
  <si>
    <t>CUST1012</t>
  </si>
  <si>
    <t>CUST1013</t>
  </si>
  <si>
    <t>furniture</t>
  </si>
  <si>
    <t>CUST1014</t>
  </si>
  <si>
    <t>CUST1015</t>
  </si>
  <si>
    <t>CUST1016</t>
  </si>
  <si>
    <t>raHul  verma</t>
  </si>
  <si>
    <t>CUST1017</t>
  </si>
  <si>
    <t>CUST1018</t>
  </si>
  <si>
    <t>SOUTH</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</si>
  <si>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</si>
  <si>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</si>
  <si>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</si>
  <si>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</si>
  <si>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</si>
  <si>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</si>
  <si>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</si>
  <si>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</si>
  <si>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</si>
  <si>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</si>
  <si>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</si>
  <si>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</si>
  <si>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</si>
  <si>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</si>
  <si>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</si>
  <si>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</si>
  <si>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</si>
  <si>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</si>
  <si>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</si>
  <si>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</si>
  <si>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</si>
  <si>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</si>
  <si>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</si>
  <si>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</si>
  <si>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</si>
  <si>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</si>
  <si>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</si>
  <si>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</si>
  <si>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</si>
  <si>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</si>
  <si>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</si>
  <si>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</si>
  <si>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Id_Type</t>
  </si>
  <si>
    <t>Id_Num</t>
  </si>
  <si>
    <t>Shipping_Days</t>
  </si>
  <si>
    <t>Shipping_Status</t>
  </si>
  <si>
    <t>Customer_Tenure</t>
  </si>
  <si>
    <t>Clean_Customer_Name</t>
  </si>
  <si>
    <t>Clean_Product_Category</t>
  </si>
  <si>
    <t>Clean_Region</t>
  </si>
  <si>
    <t>Order_Months</t>
  </si>
  <si>
    <t>Total_Orders</t>
  </si>
  <si>
    <t>Delayed_Orders</t>
  </si>
  <si>
    <t>Delay_Rate</t>
  </si>
  <si>
    <t>Avg_Shipping_Days</t>
  </si>
  <si>
    <t>Avg_Tenure(Yrs.)</t>
  </si>
  <si>
    <t>Orders</t>
  </si>
  <si>
    <t>North</t>
  </si>
  <si>
    <t>South</t>
  </si>
  <si>
    <t>East</t>
  </si>
  <si>
    <t>West</t>
  </si>
  <si>
    <t>Category</t>
  </si>
  <si>
    <t>Furniture</t>
  </si>
  <si>
    <t>Clothing</t>
  </si>
  <si>
    <t>Delivery_Status</t>
  </si>
  <si>
    <t>Delayed</t>
  </si>
  <si>
    <t>On time</t>
  </si>
  <si>
    <t>Order_Month</t>
  </si>
  <si>
    <t>Row Labels</t>
  </si>
  <si>
    <t>Grand Total</t>
  </si>
  <si>
    <t>Sum of Orders</t>
  </si>
  <si>
    <t>Customer Orders Dashboard</t>
  </si>
  <si>
    <t>(blank)</t>
  </si>
  <si>
    <t>Sum of Orders2</t>
  </si>
  <si>
    <t>Sum of Orders3</t>
  </si>
  <si>
    <t>KPI Cards</t>
  </si>
  <si>
    <t>Formula-Driven Dashboard Build From Dataset Sheet</t>
  </si>
  <si>
    <t>Insights</t>
  </si>
  <si>
    <t>North region has highest orders</t>
  </si>
  <si>
    <t xml:space="preserve">Electronics is top category </t>
  </si>
  <si>
    <t xml:space="preserve">Average shipping time is 4 days </t>
  </si>
  <si>
    <t>Approximatly 46% of orders are delayed</t>
  </si>
  <si>
    <t>Most of the deliveries are delayed in 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</si>
</sst>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Aptos ExtraBold"/>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rgb="FF7030A0"/>
        <bgColor indexed="64"/>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16" fillId="0" borderId="0" xfId="0" applyFont="1" applyAlignment="1">
      <alignment horizontal="center" vertical="center"/>
    </xf>
    <xf numFmtId="0" fontId="0" fillId="34" borderId="0" xfId="0" applyFill="1"/>
    <xf numFmtId="0" fontId="0" fillId="0" borderId="0" xfId="0" pivotButton="1"/>
    <xf numFmtId="0" fontId="0" fillId="0" borderId="0" xfId="0" applyAlignment="1">
      <alignment horizontal="left"/>
    </xf>
    <xf numFmtId="0" fontId="16" fillId="0" borderId="0" xfId="0" applyFont="1" applyAlignment="1">
      <alignment horizontal="center"/>
    </xf>
    <xf numFmtId="0" fontId="16" fillId="0" borderId="0" xfId="0" applyFont="1"/>
    <xf numFmtId="0" fontId="16" fillId="36" borderId="0" xfId="0" applyFont="1" applyFill="1" applyAlignment="1">
      <alignment horizontal="center"/>
    </xf>
    <xf numFmtId="0" fontId="18" fillId="36" borderId="0" xfId="0" applyFont="1" applyFill="1" applyAlignment="1">
      <alignment horizontal="center"/>
    </xf>
    <xf numFmtId="0" fontId="0" fillId="35" borderId="0" xfId="0" applyFill="1" applyAlignment="1">
      <alignment horizontal="center"/>
    </xf>
    <xf numFmtId="0" fontId="0" fillId="33" borderId="0" xfId="0" applyFill="1" applyAlignment="1">
      <alignment horizontal="center"/>
    </xf>
    <xf numFmtId="0" fontId="16" fillId="33" borderId="0" xfId="0" applyFont="1" applyFill="1" applyAlignment="1">
      <alignment horizontal="center"/>
    </xf>
    <xf numFmtId="0" fontId="16" fillId="33" borderId="0" xfId="0" applyFont="1" applyFill="1" applyAlignment="1">
      <alignment horizontal="center" vertical="center"/>
    </xf>
    <xf numFmtId="165" fontId="16" fillId="33" borderId="0" xfId="1" applyNumberFormat="1" applyFont="1" applyFill="1" applyAlignment="1">
      <alignment horizontal="center"/>
    </xf>
    <xf numFmtId="164" fontId="16" fillId="33" borderId="0" xfId="1" applyNumberFormat="1" applyFont="1" applyFill="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1" defaultTableStyle="TableStyleMedium2" defaultPivotStyle="PivotStyleLight16">
    <tableStyle name="Slicer Style 1" pivot="0" table="0" count="0" xr9:uid="{497862F5-286E-4FA3-9AB7-352AD5EE5C2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2.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[excel_practice_dataset.xlsx]Dashboard!Orders by region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17386239641394"/>
          <c:y val="0.14628619257238515"/>
          <c:w val="0.59735870516185474"/>
          <c:h val="0.6293157626130067"/>
        </c:manualLayout>
      </c:layout>
      <c:barChart>
        <c:barDir val="bar"/>
        <c:grouping val="clustered"/>
        <c:varyColors val="0"/>
        <c:ser>
          <c:idx val="0"/>
          <c:order val="0"/>
          <c:tx>
            <c:strRef>
              <c:f>Dashboard!$B$20</c:f>
              <c:strCache>
                <c:ptCount val="1"/>
                <c:pt idx="0">
                  <c:v>Total</c:v>
                </c:pt>
              </c:strCache>
            </c:strRef>
          </c:tx>
          <c:spPr>
            <a:solidFill>
              <a:schemeClr val="accent1"/>
            </a:solidFill>
            <a:ln>
              <a:noFill/>
            </a:ln>
            <a:effectLst/>
          </c:spPr>
          <c:invertIfNegative val="0"/>
          <c:cat>
            <c:strRef>
              <c:f>Dashboard!$A$21:$A$26</c:f>
              <c:strCache>
                <c:ptCount val="5"/>
                <c:pt idx="0">
                  <c:v>East</c:v>
                </c:pt>
                <c:pt idx="1">
                  <c:v>North</c:v>
                </c:pt>
                <c:pt idx="2">
                  <c:v>South</c:v>
                </c:pt>
                <c:pt idx="3">
                  <c:v>West</c:v>
                </c:pt>
                <c:pt idx="4">
                  <c:v>(blank)</c:v>
                </c:pt>
              </c:strCache>
            </c:strRef>
          </c:cat>
          <c:val>
            <c:numRef>
              <c:f>Dashboard!$B$21:$B$26</c:f>
              <c:numCache>
                <c:formatCode>General</c:formatCode>
                <c:ptCount val="5"/>
                <c:pt idx="0">
                  <c:v>13</c:v>
                </c:pt>
                <c:pt idx="1">
                  <c:v>23</c:v>
                </c:pt>
                <c:pt idx="2">
                  <c:v>8</c:v>
                </c:pt>
                <c:pt idx="3">
                  <c:v>6</c:v>
                </c:pt>
              </c:numCache>
            </c:numRef>
          </c:val>
          <c:extLst>
            <c:ext xmlns:c16="http://schemas.microsoft.com/office/drawing/2014/chart" uri="{C3380CC4-5D6E-409C-BE32-E72D297353CC}">
              <c16:uniqueId val="{00000000-1E14-4F70-9C18-49FE69C91C09}"/>
            </c:ext>
          </c:extLst>
        </c:ser>
        <c:dLbls>
          <c:showLegendKey val="0"/>
          <c:showVal val="0"/>
          <c:showCatName val="0"/>
          <c:showSerName val="0"/>
          <c:showPercent val="0"/>
          <c:showBubbleSize val="0"/>
        </c:dLbls>
        <c:gapWidth val="182"/>
        <c:axId val="1485186879"/>
        <c:axId val="1485185919"/>
      </c:barChart>
      <c:catAx>
        <c:axId val="148518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185919"/>
        <c:crosses val="autoZero"/>
        <c:auto val="1"/>
        <c:lblAlgn val="ctr"/>
        <c:lblOffset val="100"/>
        <c:noMultiLvlLbl val="0"/>
      </c:catAx>
      <c:valAx>
        <c:axId val="148518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1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[excel_practice_dataset.xlsx]Dashboard!Orders by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Dashboard!$J$20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9F-4252-B423-3E8DE78F0C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9F-4252-B423-3E8DE78F0C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9F-4252-B423-3E8DE78F0C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9F-4252-B423-3E8DE78F0C0D}"/>
              </c:ext>
            </c:extLst>
          </c:dPt>
          <c:cat>
            <c:strRef>
              <c:f>Dashboard!$I$21:$I$25</c:f>
              <c:strCache>
                <c:ptCount val="4"/>
                <c:pt idx="0">
                  <c:v>Clothing</c:v>
                </c:pt>
                <c:pt idx="1">
                  <c:v>Electronics</c:v>
                </c:pt>
                <c:pt idx="2">
                  <c:v>Furniture</c:v>
                </c:pt>
                <c:pt idx="3">
                  <c:v>(blank)</c:v>
                </c:pt>
              </c:strCache>
            </c:strRef>
          </c:cat>
          <c:val>
            <c:numRef>
              <c:f>Dashboard!$J$21:$J$25</c:f>
              <c:numCache>
                <c:formatCode>General</c:formatCode>
                <c:ptCount val="4"/>
                <c:pt idx="0">
                  <c:v>5</c:v>
                </c:pt>
                <c:pt idx="1">
                  <c:v>20</c:v>
                </c:pt>
                <c:pt idx="2">
                  <c:v>25</c:v>
                </c:pt>
              </c:numCache>
            </c:numRef>
          </c:val>
          <c:extLst>
            <c:ext xmlns:c16="http://schemas.microsoft.com/office/drawing/2014/chart" uri="{C3380CC4-5D6E-409C-BE32-E72D297353CC}">
              <c16:uniqueId val="{00000000-1BFB-43FD-895F-A691F66984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[excel_practice_dataset.xlsx]Dashboard!Orders Status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F0-48B8-A981-78DCDC20C5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F0-48B8-A981-78DCDC20C5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F0-48B8-A981-78DCDC20C5C0}"/>
              </c:ext>
            </c:extLst>
          </c:dPt>
          <c:cat>
            <c:strRef>
              <c:f>Dashboard!$A$32:$A$35</c:f>
              <c:strCache>
                <c:ptCount val="3"/>
                <c:pt idx="0">
                  <c:v>Delayed</c:v>
                </c:pt>
                <c:pt idx="1">
                  <c:v>On time</c:v>
                </c:pt>
                <c:pt idx="2">
                  <c:v>(blank)</c:v>
                </c:pt>
              </c:strCache>
            </c:strRef>
          </c:cat>
          <c:val>
            <c:numRef>
              <c:f>Dashboard!$B$32:$B$35</c:f>
              <c:numCache>
                <c:formatCode>General</c:formatCode>
                <c:ptCount val="3"/>
                <c:pt idx="0">
                  <c:v>23</c:v>
                </c:pt>
                <c:pt idx="1">
                  <c:v>27</c:v>
                </c:pt>
              </c:numCache>
            </c:numRef>
          </c:val>
          <c:extLst>
            <c:ext xmlns:c16="http://schemas.microsoft.com/office/drawing/2014/chart" uri="{C3380CC4-5D6E-409C-BE32-E72D297353CC}">
              <c16:uniqueId val="{00000000-2A4A-408B-A470-2D2FC57266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[excel_practice_dataset.xlsx]Dashboard!PivotTable1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8318075126229"/>
          <c:y val="0.25848200945479088"/>
          <c:w val="0.73980920322724286"/>
          <c:h val="0.31848274038451202"/>
        </c:manualLayout>
      </c:layout>
      <c:areaChart>
        <c:grouping val="standard"/>
        <c:varyColors val="0"/>
        <c:ser>
          <c:idx val="0"/>
          <c:order val="0"/>
          <c:tx>
            <c:strRef>
              <c:f>Dashboard!$J$31</c:f>
              <c:strCache>
                <c:ptCount val="1"/>
                <c:pt idx="0">
                  <c:v>Total</c:v>
                </c:pt>
              </c:strCache>
            </c:strRef>
          </c:tx>
          <c:spPr>
            <a:solidFill>
              <a:schemeClr val="accent1"/>
            </a:solidFill>
            <a:ln>
              <a:noFill/>
            </a:ln>
            <a:effectLst/>
          </c:spPr>
          <c:cat>
            <c:strRef>
              <c:f>Dashboard!$I$32:$I$44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Dashboard!$J$32:$J$44</c:f>
              <c:numCache>
                <c:formatCode>General</c:formatCode>
                <c:ptCount val="12"/>
                <c:pt idx="0">
                  <c:v>6</c:v>
                </c:pt>
                <c:pt idx="1">
                  <c:v>4</c:v>
                </c:pt>
                <c:pt idx="2">
                  <c:v>4</c:v>
                </c:pt>
                <c:pt idx="3">
                  <c:v>2</c:v>
                </c:pt>
                <c:pt idx="4">
                  <c:v>5</c:v>
                </c:pt>
                <c:pt idx="5">
                  <c:v>5</c:v>
                </c:pt>
                <c:pt idx="6">
                  <c:v>3</c:v>
                </c:pt>
                <c:pt idx="7">
                  <c:v>3</c:v>
                </c:pt>
                <c:pt idx="8">
                  <c:v>7</c:v>
                </c:pt>
                <c:pt idx="9">
                  <c:v>2</c:v>
                </c:pt>
                <c:pt idx="10">
                  <c:v>5</c:v>
                </c:pt>
                <c:pt idx="11">
                  <c:v>4</c:v>
                </c:pt>
              </c:numCache>
            </c:numRef>
          </c:val>
          <c:extLst>
            <c:ext xmlns:c16="http://schemas.microsoft.com/office/drawing/2014/chart" uri="{C3380CC4-5D6E-409C-BE32-E72D297353CC}">
              <c16:uniqueId val="{00000000-8CC2-4844-8F7C-CD8357FD8E26}"/>
            </c:ext>
          </c:extLst>
        </c:ser>
        <c:dLbls>
          <c:showLegendKey val="0"/>
          <c:showVal val="0"/>
          <c:showCatName val="0"/>
          <c:showSerName val="0"/>
          <c:showPercent val="0"/>
          <c:showBubbleSize val="0"/>
        </c:dLbls>
        <c:axId val="392384111"/>
        <c:axId val="392384591"/>
      </c:areaChart>
      <c:catAx>
        <c:axId val="39238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84591"/>
        <c:crosses val="autoZero"/>
        <c:auto val="1"/>
        <c:lblAlgn val="ctr"/>
        <c:lblOffset val="100"/>
        <c:noMultiLvlLbl val="0"/>
      </c:catAx>
      <c:valAx>
        <c:axId val="39238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841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xdr:colOff>
      <xdr:row>19</xdr:row>
      <xdr:rowOff>0</xdr:rowOff>
    </xdr:from>
    <xdr:to>
      <xdr:col>6</xdr:col>
      <xdr:colOff>289560</xdr:colOff>
      <xdr:row>26</xdr:row>
      <xdr:rowOff>175260</xdr:rowOff>
    </xdr:to>
    <xdr:graphicFrame macro="">
      <xdr:nvGraphicFramePr>
        <xdr:cNvPr id="11" name="Chart 10">
          <a:extLst>
            <a:ext uri="{FF2B5EF4-FFF2-40B4-BE49-F238E27FC236}">
              <a16:creationId xmlns:a16="http://schemas.microsoft.com/office/drawing/2014/main" id="{B192C4B9-8E7C-BF27-EA50-F9135E2C2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37986</xdr:colOff>
      <xdr:row>19</xdr:row>
      <xdr:rowOff>1</xdr:rowOff>
    </xdr:from>
    <xdr:to>
      <xdr:col>15</xdr:col>
      <xdr:colOff>22746</xdr:colOff>
      <xdr:row>27</xdr:row>
      <xdr:rowOff>7621</xdr:rowOff>
    </xdr:to>
    <xdr:graphicFrame macro="">
      <xdr:nvGraphicFramePr>
        <xdr:cNvPr id="12" name="Chart 11">
          <a:extLst>
            <a:ext uri="{FF2B5EF4-FFF2-40B4-BE49-F238E27FC236}">
              <a16:creationId xmlns:a16="http://schemas.microsoft.com/office/drawing/2014/main" id="{602D093E-C644-26DF-EDFD-09827491E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18993</xdr:colOff>
      <xdr:row>30</xdr:row>
      <xdr:rowOff>18993</xdr:rowOff>
    </xdr:from>
    <xdr:to>
      <xdr:col>7</xdr:col>
      <xdr:colOff>11373</xdr:colOff>
      <xdr:row>37</xdr:row>
      <xdr:rowOff>11373</xdr:rowOff>
    </xdr:to>
    <xdr:graphicFrame macro="">
      <xdr:nvGraphicFramePr>
        <xdr:cNvPr id="13" name="Chart 12">
          <a:extLst>
            <a:ext uri="{FF2B5EF4-FFF2-40B4-BE49-F238E27FC236}">
              <a16:creationId xmlns:a16="http://schemas.microsoft.com/office/drawing/2014/main" id="{A13068D5-82CF-6872-D4BA-ACC291C73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18992</xdr:colOff>
      <xdr:row>18</xdr:row>
      <xdr:rowOff>11372</xdr:rowOff>
    </xdr:from>
    <xdr:to>
      <xdr:col>21</xdr:col>
      <xdr:colOff>18993</xdr:colOff>
      <xdr:row>31</xdr:row>
      <xdr:rowOff>100907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098BBEB-662F-FAFA-A5ED-AC987DC7C0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19927" y="3440372"/>
              <a:ext cx="1843550" cy="2486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892791</xdr:colOff>
      <xdr:row>29</xdr:row>
      <xdr:rowOff>175146</xdr:rowOff>
    </xdr:from>
    <xdr:to>
      <xdr:col>16</xdr:col>
      <xdr:colOff>284328</xdr:colOff>
      <xdr:row>40</xdr:row>
      <xdr:rowOff>34119</xdr:rowOff>
    </xdr:to>
    <xdr:graphicFrame macro="">
      <xdr:nvGraphicFramePr>
        <xdr:cNvPr id="3" name="Chart 2">
          <a:extLst>
            <a:ext uri="{FF2B5EF4-FFF2-40B4-BE49-F238E27FC236}">
              <a16:creationId xmlns:a16="http://schemas.microsoft.com/office/drawing/2014/main" id="{DBA01C95-2B2A-B81A-0896-D9CEA4845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456786921299" createdVersion="8" refreshedVersion="8" minRefreshableVersion="3" recordCount="5" xr:uid="{323CCF76-E872-4821-B1F2-3D80956F96CE}">
  <cacheSource type="worksheet">
    <worksheetSource ref="A13:N18" sheet="Dashboard"/>
  </cacheSource>
  <cacheFields count="8">
    <cacheField name="Region" numFmtId="0">
      <sharedItems containsBlank="1" count="5">
        <s v="North"/>
        <s v="South"/>
        <s v="East"/>
        <s v="West"/>
        <m/>
      </sharedItems>
    </cacheField>
    <cacheField name="Orders" numFmtId="0">
      <sharedItems containsString="0" containsBlank="1" containsNumber="1" containsInteger="1" minValue="6" maxValue="23"/>
    </cacheField>
    <cacheField name="Category" numFmtId="0">
      <sharedItems containsBlank="1" count="4">
        <s v="Electronics"/>
        <s v="Furniture"/>
        <s v="Clothing"/>
        <m/>
      </sharedItems>
    </cacheField>
    <cacheField name="Orders2" numFmtId="0">
      <sharedItems containsString="0" containsBlank="1" containsNumber="1" containsInteger="1" minValue="5" maxValue="25"/>
    </cacheField>
    <cacheField name="Delivery_Status" numFmtId="0">
      <sharedItems containsBlank="1" count="3">
        <s v="Delayed"/>
        <s v="On time"/>
        <m/>
      </sharedItems>
    </cacheField>
    <cacheField name="Orders3" numFmtId="0">
      <sharedItems containsString="0" containsBlank="1" containsNumber="1" containsInteger="1" minValue="23" maxValue="27"/>
    </cacheField>
    <cacheField name="Order_Month" numFmtId="0">
      <sharedItems containsSemiMixedTypes="0" containsString="0" containsNumber="1" containsInteger="1" minValue="1" maxValue="5" count="5">
        <n v="1"/>
        <n v="2"/>
        <n v="3"/>
        <n v="4"/>
        <n v="5"/>
      </sharedItems>
    </cacheField>
    <cacheField name="Orders4" numFmtId="0">
      <sharedItems containsSemiMixedTypes="0" containsString="0" containsNumber="1" containsInteger="1" minValue="2" maxValue="6"/>
    </cacheField>
  </cacheFields>
  <extLst>
    <ext xmlns:x14="http://schemas.microsoft.com/office/spreadsheetml/2009/9/main" uri="{725AE2AE-9491-48be-B2B4-4EB974FC3084}">
      <x14:pivotCacheDefinition pivotCacheId="11036136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584571527776" createdVersion="8" refreshedVersion="8" minRefreshableVersion="3" recordCount="12" xr:uid="{6168641E-F302-4816-AE3E-4A3667CBB8FA}">
  <cacheSource type="worksheet">
    <worksheetSource ref="M13:N25" sheet="Dashboard"/>
  </cacheSource>
  <cacheFields count="2">
    <cacheField name="Order_Month" numFmtId="0">
      <sharedItems containsSemiMixedTypes="0" containsString="0" containsNumber="1" containsInteger="1" minValue="1" maxValue="12" count="12">
        <n v="1"/>
        <n v="2"/>
        <n v="3"/>
        <n v="4"/>
        <n v="5"/>
        <n v="6"/>
        <n v="7"/>
        <n v="8"/>
        <n v="9"/>
        <n v="10"/>
        <n v="11"/>
        <n v="12"/>
      </sharedItems>
    </cacheField>
    <cacheField name="Orders" numFmtId="0">
      <sharedItems containsSemiMixedTypes="0" containsString="0" containsNumber="1" containsInteger="1" minValue="2"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
    <x v="0"/>
    <n v="20"/>
    <x v="0"/>
    <n v="23"/>
    <x v="0"/>
    <n v="6"/>
  </r>
  <r>
    <x v="1"/>
    <n v="8"/>
    <x v="1"/>
    <n v="25"/>
    <x v="1"/>
    <n v="27"/>
    <x v="1"/>
    <n v="4"/>
  </r>
  <r>
    <x v="2"/>
    <n v="13"/>
    <x v="2"/>
    <n v="5"/>
    <x v="2"/>
    <m/>
    <x v="2"/>
    <n v="4"/>
  </r>
  <r>
    <x v="3"/>
    <n v="6"/>
    <x v="3"/>
    <m/>
    <x v="2"/>
    <m/>
    <x v="3"/>
    <n v="2"/>
  </r>
  <r>
    <x v="4"/>
    <m/>
    <x v="3"/>
    <m/>
    <x v="2"/>
    <m/>
    <x v="4"/>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6"/>
  </r>
  <r>
    <x v="1"/>
    <n v="4"/>
  </r>
  <r>
    <x v="2"/>
    <n v="4"/>
  </r>
  <r>
    <x v="3"/>
    <n v="2"/>
  </r>
  <r>
    <x v="4"/>
    <n v="5"/>
  </r>
  <r>
    <x v="5"/>
    <n v="5"/>
  </r>
  <r>
    <x v="6"/>
    <n v="3"/>
  </r>
  <r>
    <x v="7"/>
    <n v="3"/>
  </r>
  <r>
    <x v="8"/>
    <n v="7"/>
  </r>
  <r>
    <x v="9"/>
    <n v="2"/>
  </r>
  <r>
    <x v="10"/>
    <n v="5"/>
  </r>
  <r>
    <x v="1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0DA0C-2BF3-4541-8AF8-586736C8B9AE}" name="Order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0:J25" firstHeaderRow="1" firstDataRow="1" firstDataCol="1"/>
  <pivotFields count="8">
    <pivotField showAll="0">
      <items count="6">
        <item x="2"/>
        <item x="0"/>
        <item x="1"/>
        <item x="3"/>
        <item x="4"/>
        <item t="default"/>
      </items>
    </pivotField>
    <pivotField showAll="0"/>
    <pivotField axis="axisRow" showAll="0">
      <items count="5">
        <item x="2"/>
        <item x="0"/>
        <item x="1"/>
        <item x="3"/>
        <item t="default"/>
      </items>
    </pivotField>
    <pivotField dataField="1" showAll="0"/>
    <pivotField showAll="0">
      <items count="4">
        <item x="0"/>
        <item x="1"/>
        <item x="2"/>
        <item t="default"/>
      </items>
    </pivotField>
    <pivotField showAll="0"/>
    <pivotField showAll="0">
      <items count="6">
        <item x="0"/>
        <item x="1"/>
        <item x="2"/>
        <item x="3"/>
        <item x="4"/>
        <item t="default"/>
      </items>
    </pivotField>
    <pivotField showAll="0"/>
  </pivotFields>
  <rowFields count="1">
    <field x="2"/>
  </rowFields>
  <rowItems count="5">
    <i>
      <x/>
    </i>
    <i>
      <x v="1"/>
    </i>
    <i>
      <x v="2"/>
    </i>
    <i>
      <x v="3"/>
    </i>
    <i t="grand">
      <x/>
    </i>
  </rowItems>
  <colItems count="1">
    <i/>
  </colItems>
  <dataFields count="1">
    <dataField name="Sum of Orders2" fld="3"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0F0D4-1BEA-4EFA-A381-31E62AAB07FC}" name="Order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6" firstHeaderRow="1" firstDataRow="1" firstDataCol="1"/>
  <pivotFields count="8">
    <pivotField axis="axisRow" showAll="0">
      <items count="6">
        <item x="2"/>
        <item x="0"/>
        <item x="1"/>
        <item x="3"/>
        <item x="4"/>
        <item t="default"/>
      </items>
    </pivotField>
    <pivotField dataField="1" showAll="0"/>
    <pivotField showAll="0">
      <items count="5">
        <item x="2"/>
        <item x="0"/>
        <item x="1"/>
        <item x="3"/>
        <item t="default"/>
      </items>
    </pivotField>
    <pivotField showAll="0"/>
    <pivotField showAll="0">
      <items count="4">
        <item x="0"/>
        <item x="1"/>
        <item x="2"/>
        <item t="default"/>
      </items>
    </pivotField>
    <pivotField showAll="0"/>
    <pivotField showAll="0">
      <items count="6">
        <item x="0"/>
        <item x="1"/>
        <item x="2"/>
        <item x="3"/>
        <item x="4"/>
        <item t="default"/>
      </items>
    </pivotField>
    <pivotField showAll="0"/>
  </pivotFields>
  <rowFields count="1">
    <field x="0"/>
  </rowFields>
  <rowItems count="6">
    <i>
      <x/>
    </i>
    <i>
      <x v="1"/>
    </i>
    <i>
      <x v="2"/>
    </i>
    <i>
      <x v="3"/>
    </i>
    <i>
      <x v="4"/>
    </i>
    <i t="grand">
      <x/>
    </i>
  </rowItems>
  <colItems count="1">
    <i/>
  </colItems>
  <dataFields count="1">
    <dataField name="Sum of Order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34B2D-5848-4C40-BD5C-C9DC2A9A4F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1:J44" firstHeaderRow="1" firstDataRow="1" firstDataCol="1"/>
  <pivotFields count="2">
    <pivotField axis="axisRow"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Order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1C9490-0AB6-45F6-BEA4-FA1541021FD2}" name="Orders Statu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1:B35" firstHeaderRow="1" firstDataRow="1" firstDataCol="1"/>
  <pivotFields count="8">
    <pivotField showAll="0">
      <items count="6">
        <item x="2"/>
        <item x="0"/>
        <item x="1"/>
        <item x="3"/>
        <item x="4"/>
        <item t="default"/>
      </items>
    </pivotField>
    <pivotField showAll="0"/>
    <pivotField showAll="0"/>
    <pivotField showAll="0"/>
    <pivotField axis="axisRow" showAll="0">
      <items count="4">
        <item x="0"/>
        <item x="1"/>
        <item x="2"/>
        <item t="default"/>
      </items>
    </pivotField>
    <pivotField dataField="1" showAll="0"/>
    <pivotField showAll="0">
      <items count="6">
        <item x="0"/>
        <item x="1"/>
        <item x="2"/>
        <item x="3"/>
        <item x="4"/>
        <item t="default"/>
      </items>
    </pivotField>
    <pivotField showAll="0"/>
  </pivotFields>
  <rowFields count="1">
    <field x="4"/>
  </rowFields>
  <rowItems count="4">
    <i>
      <x/>
    </i>
    <i>
      <x v="1"/>
    </i>
    <i>
      <x v="2"/>
    </i>
    <i t="grand">
      <x/>
    </i>
  </rowItems>
  <colItems count="1">
    <i/>
  </colItems>
  <dataFields count="1">
    <dataField name="Sum of Orders3" fld="5"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3782B8-04B2-478F-88F5-DCEA4ED00F43}" sourceName="Region">
  <pivotTables>
    <pivotTable tabId="2" name="Orders by region"/>
    <pivotTable tabId="2" name="Orders by category"/>
    <pivotTable tabId="2" name="Orders Status "/>
  </pivotTables>
  <data>
    <tabular pivotCacheId="1103613645">
      <items count="5">
        <i x="2" s="1"/>
        <i x="0"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0D8AA0-4BF8-497F-AB79-E33338A0A1D0}" cache="Slicer_Region" caption="Region"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E3E1-A827-4BB9-AFBC-7447731C152A}">
  <dimension ref="A1:Q51"/>
  <sheetViews>
    <sheetView workbookViewId="0">
      <selection activeCell="H10" sqref="H10"/>
    </sheetView>
  </sheetViews>
  <sheetFormatPr defaultRowHeight="14.4" x14ac:dyDescent="0.3"/>
  <cols>
    <col min="1" max="1" width="11.6640625" bestFit="1" customWidth="1"/>
    <col min="2" max="2" width="14.88671875" bestFit="1" customWidth="1"/>
    <col min="3" max="3" width="15.77734375" bestFit="1" customWidth="1"/>
    <col min="4" max="4" width="6.77734375" bestFit="1" customWidth="1"/>
    <col min="5" max="5" width="10.33203125" bestFit="1" customWidth="1"/>
    <col min="6" max="6" width="10.5546875" bestFit="1" customWidth="1"/>
    <col min="7" max="7" width="12.5546875" bestFit="1" customWidth="1"/>
    <col min="9" max="10" width="7.44140625" bestFit="1" customWidth="1"/>
    <col min="11" max="11" width="20.21875" bestFit="1" customWidth="1"/>
    <col min="12" max="12" width="21.109375" bestFit="1" customWidth="1"/>
    <col min="13" max="13" width="11.77734375" bestFit="1" customWidth="1"/>
    <col min="14" max="14" width="12.5546875" bestFit="1" customWidth="1"/>
    <col min="15" max="15" width="13.77734375" bestFit="1" customWidth="1"/>
    <col min="16" max="16" width="15.6640625" bestFit="1" customWidth="1"/>
    <col min="17" max="17" width="13.44140625" bestFit="1" customWidth="1"/>
  </cols>
  <sheetData>
    <row r="1" spans="1:17" x14ac:dyDescent="0.3">
      <c r="A1" t="s">
        <v>0</v>
      </c>
      <c r="B1" t="s">
        <v>1</v>
      </c>
      <c r="C1" t="s">
        <v>2</v>
      </c>
      <c r="D1" t="s">
        <v>3</v>
      </c>
      <c r="E1" t="s">
        <v>4</v>
      </c>
      <c r="F1" t="s">
        <v>5</v>
      </c>
      <c r="G1" t="s">
        <v>6</v>
      </c>
      <c r="I1" s="2" t="s">
        <v>72</v>
      </c>
      <c r="J1" s="2" t="s">
        <v>73</v>
      </c>
      <c r="K1" s="2" t="s">
        <v>77</v>
      </c>
      <c r="L1" s="2" t="s">
        <v>78</v>
      </c>
      <c r="M1" s="2" t="s">
        <v>79</v>
      </c>
      <c r="N1" s="2" t="s">
        <v>74</v>
      </c>
      <c r="O1" s="2" t="s">
        <v>75</v>
      </c>
      <c r="P1" s="2" t="s">
        <v>76</v>
      </c>
      <c r="Q1" s="2" t="s">
        <v>80</v>
      </c>
    </row>
    <row r="2" spans="1:17" x14ac:dyDescent="0.3">
      <c r="A2" t="s">
        <v>7</v>
      </c>
      <c r="B2" t="s">
        <v>8</v>
      </c>
      <c r="C2" t="s">
        <v>9</v>
      </c>
      <c r="D2" t="s">
        <v>10</v>
      </c>
      <c r="E2" s="1">
        <v>44292</v>
      </c>
      <c r="F2" s="1">
        <v>45121</v>
      </c>
      <c r="G2" s="1">
        <v>45128</v>
      </c>
      <c r="I2" t="str" cm="1">
        <f t="array" ref="I2:I51">MID(A2:A51, 1, 4)</f>
        <v>CUST</v>
      </c>
      <c r="J2" t="str" cm="1">
        <f t="array" ref="J2:J51">MID(A2:A51, 5,8)</f>
        <v>1001</v>
      </c>
      <c r="K2" t="str" cm="1">
        <f t="array" ref="K2:K51">PROPER(TRIM(CLEAN(B2:B51)))</f>
        <v>Anita Sharma</v>
      </c>
      <c r="L2" t="str" cm="1">
        <f t="array" ref="L2:L51">PROPER(TRIM(CLEAN(C2:C51)))</f>
        <v>Furniture</v>
      </c>
      <c r="M2" t="str" cm="1">
        <f t="array" ref="M2:M51">PROPER(TRIM(CLEAN(D2:D51)))</f>
        <v>North</v>
      </c>
      <c r="N2">
        <f>G2-F2</f>
        <v>7</v>
      </c>
      <c r="O2" t="str">
        <f>IF(G2-F2&gt;4, "Delayed", "On time")</f>
        <v>Delayed</v>
      </c>
      <c r="P2">
        <f ca="1">DATEDIF(E2, TODAY(), "Y")</f>
        <v>4</v>
      </c>
      <c r="Q2">
        <f>MONTH(F2)</f>
        <v>7</v>
      </c>
    </row>
    <row r="3" spans="1:17" x14ac:dyDescent="0.3">
      <c r="A3" t="s">
        <v>11</v>
      </c>
      <c r="B3" t="s">
        <v>12</v>
      </c>
      <c r="C3" t="s">
        <v>13</v>
      </c>
      <c r="D3" t="s">
        <v>10</v>
      </c>
      <c r="E3" s="1">
        <v>44201</v>
      </c>
      <c r="F3" s="1">
        <v>45081</v>
      </c>
      <c r="G3" s="1">
        <v>45084</v>
      </c>
      <c r="I3" t="str">
        <v>CUST</v>
      </c>
      <c r="J3" t="str">
        <v>1002</v>
      </c>
      <c r="K3" t="str">
        <v>Sneha Gupta</v>
      </c>
      <c r="L3" t="str">
        <v>Clothing</v>
      </c>
      <c r="M3" t="str">
        <v>North</v>
      </c>
      <c r="N3">
        <f t="shared" ref="N3:N51" si="0">G3-F3</f>
        <v>3</v>
      </c>
      <c r="O3" t="str">
        <f t="shared" ref="O3:O51" si="1">IF(G3-F3&gt;4, "Delayed", "On time")</f>
        <v>On time</v>
      </c>
      <c r="P3">
        <f t="shared" ref="P3:P51" ca="1" si="2">DATEDIF(E3, TODAY(), "Y")</f>
        <v>5</v>
      </c>
      <c r="Q3">
        <f t="shared" ref="Q3:Q51" si="3">MONTH(F3)</f>
        <v>6</v>
      </c>
    </row>
    <row r="4" spans="1:17" x14ac:dyDescent="0.3">
      <c r="A4" t="s">
        <v>14</v>
      </c>
      <c r="B4" t="s">
        <v>8</v>
      </c>
      <c r="C4" t="s">
        <v>15</v>
      </c>
      <c r="D4" t="s">
        <v>16</v>
      </c>
      <c r="E4" s="1">
        <v>44171</v>
      </c>
      <c r="F4" s="1">
        <v>44949</v>
      </c>
      <c r="G4" s="1">
        <v>44955</v>
      </c>
      <c r="I4" t="str">
        <v>CUST</v>
      </c>
      <c r="J4" t="str">
        <v>1003</v>
      </c>
      <c r="K4" t="str">
        <v>Anita Sharma</v>
      </c>
      <c r="L4" t="str">
        <v>Electronics</v>
      </c>
      <c r="M4" t="str">
        <v>East</v>
      </c>
      <c r="N4">
        <f t="shared" si="0"/>
        <v>6</v>
      </c>
      <c r="O4" t="str">
        <f t="shared" si="1"/>
        <v>Delayed</v>
      </c>
      <c r="P4">
        <f t="shared" ca="1" si="2"/>
        <v>5</v>
      </c>
      <c r="Q4">
        <f t="shared" si="3"/>
        <v>1</v>
      </c>
    </row>
    <row r="5" spans="1:17" x14ac:dyDescent="0.3">
      <c r="A5" t="s">
        <v>17</v>
      </c>
      <c r="B5" t="s">
        <v>18</v>
      </c>
      <c r="C5" t="s">
        <v>13</v>
      </c>
      <c r="D5" t="s">
        <v>16</v>
      </c>
      <c r="E5" s="1">
        <v>44050</v>
      </c>
      <c r="F5" s="1">
        <v>45055</v>
      </c>
      <c r="G5" s="1">
        <v>45057</v>
      </c>
      <c r="I5" t="str">
        <v>CUST</v>
      </c>
      <c r="J5" t="str">
        <v>1004</v>
      </c>
      <c r="K5" t="str">
        <v>John Doe</v>
      </c>
      <c r="L5" t="str">
        <v>Clothing</v>
      </c>
      <c r="M5" t="str">
        <v>East</v>
      </c>
      <c r="N5">
        <f t="shared" si="0"/>
        <v>2</v>
      </c>
      <c r="O5" t="str">
        <f t="shared" si="1"/>
        <v>On time</v>
      </c>
      <c r="P5">
        <f t="shared" ca="1" si="2"/>
        <v>5</v>
      </c>
      <c r="Q5">
        <f t="shared" si="3"/>
        <v>5</v>
      </c>
    </row>
    <row r="6" spans="1:17" x14ac:dyDescent="0.3">
      <c r="A6" t="s">
        <v>19</v>
      </c>
      <c r="B6" t="s">
        <v>20</v>
      </c>
      <c r="C6" t="s">
        <v>21</v>
      </c>
      <c r="D6" t="s">
        <v>22</v>
      </c>
      <c r="E6" s="1">
        <v>44375</v>
      </c>
      <c r="F6" s="1">
        <v>45276</v>
      </c>
      <c r="G6" s="1">
        <v>45279</v>
      </c>
      <c r="I6" t="str">
        <v>CUST</v>
      </c>
      <c r="J6" t="str">
        <v>1005</v>
      </c>
      <c r="K6" t="str">
        <v>Vikas Kumar</v>
      </c>
      <c r="L6" t="str">
        <v>Electronics</v>
      </c>
      <c r="M6" t="str">
        <v>North</v>
      </c>
      <c r="N6">
        <f t="shared" si="0"/>
        <v>3</v>
      </c>
      <c r="O6" t="str">
        <f t="shared" si="1"/>
        <v>On time</v>
      </c>
      <c r="P6">
        <f t="shared" ca="1" si="2"/>
        <v>4</v>
      </c>
      <c r="Q6">
        <f t="shared" si="3"/>
        <v>12</v>
      </c>
    </row>
    <row r="7" spans="1:17" x14ac:dyDescent="0.3">
      <c r="A7" t="s">
        <v>23</v>
      </c>
      <c r="B7" t="s">
        <v>8</v>
      </c>
      <c r="C7" t="s">
        <v>13</v>
      </c>
      <c r="D7" t="s">
        <v>22</v>
      </c>
      <c r="E7" s="1">
        <v>44741</v>
      </c>
      <c r="F7" s="1">
        <v>45199</v>
      </c>
      <c r="G7" s="1">
        <v>45206</v>
      </c>
      <c r="I7" t="str">
        <v>CUST</v>
      </c>
      <c r="J7" t="str">
        <v>1006</v>
      </c>
      <c r="K7" t="str">
        <v>Anita Sharma</v>
      </c>
      <c r="L7" t="str">
        <v>Clothing</v>
      </c>
      <c r="M7" t="str">
        <v>North</v>
      </c>
      <c r="N7">
        <f t="shared" si="0"/>
        <v>7</v>
      </c>
      <c r="O7" t="str">
        <f t="shared" si="1"/>
        <v>Delayed</v>
      </c>
      <c r="P7">
        <f t="shared" ca="1" si="2"/>
        <v>3</v>
      </c>
      <c r="Q7">
        <f t="shared" si="3"/>
        <v>9</v>
      </c>
    </row>
    <row r="8" spans="1:17" x14ac:dyDescent="0.3">
      <c r="A8" t="s">
        <v>24</v>
      </c>
      <c r="B8" t="s">
        <v>20</v>
      </c>
      <c r="C8" t="s">
        <v>13</v>
      </c>
      <c r="D8" t="s">
        <v>10</v>
      </c>
      <c r="E8" s="1">
        <v>44308</v>
      </c>
      <c r="F8" s="1">
        <v>45162</v>
      </c>
      <c r="G8" s="1">
        <v>45163</v>
      </c>
      <c r="I8" t="str">
        <v>CUST</v>
      </c>
      <c r="J8" t="str">
        <v>1007</v>
      </c>
      <c r="K8" t="str">
        <v>Vikas Kumar</v>
      </c>
      <c r="L8" t="str">
        <v>Clothing</v>
      </c>
      <c r="M8" t="str">
        <v>North</v>
      </c>
      <c r="N8">
        <f t="shared" si="0"/>
        <v>1</v>
      </c>
      <c r="O8" t="str">
        <f t="shared" si="1"/>
        <v>On time</v>
      </c>
      <c r="P8">
        <f t="shared" ca="1" si="2"/>
        <v>4</v>
      </c>
      <c r="Q8">
        <f t="shared" si="3"/>
        <v>8</v>
      </c>
    </row>
    <row r="9" spans="1:17" x14ac:dyDescent="0.3">
      <c r="A9" t="s">
        <v>25</v>
      </c>
      <c r="B9" t="s">
        <v>18</v>
      </c>
      <c r="C9" t="s">
        <v>15</v>
      </c>
      <c r="D9" t="s">
        <v>22</v>
      </c>
      <c r="E9" s="1">
        <v>44367</v>
      </c>
      <c r="F9" s="1">
        <v>45234</v>
      </c>
      <c r="G9" s="1">
        <v>45240</v>
      </c>
      <c r="I9" t="str">
        <v>CUST</v>
      </c>
      <c r="J9" t="str">
        <v>1008</v>
      </c>
      <c r="K9" t="str">
        <v>John Doe</v>
      </c>
      <c r="L9" t="str">
        <v>Electronics</v>
      </c>
      <c r="M9" t="str">
        <v>North</v>
      </c>
      <c r="N9">
        <f t="shared" si="0"/>
        <v>6</v>
      </c>
      <c r="O9" t="str">
        <f t="shared" si="1"/>
        <v>Delayed</v>
      </c>
      <c r="P9">
        <f t="shared" ca="1" si="2"/>
        <v>4</v>
      </c>
      <c r="Q9">
        <f t="shared" si="3"/>
        <v>11</v>
      </c>
    </row>
    <row r="10" spans="1:17" x14ac:dyDescent="0.3">
      <c r="A10" t="s">
        <v>26</v>
      </c>
      <c r="B10" t="s">
        <v>8</v>
      </c>
      <c r="C10" t="s">
        <v>9</v>
      </c>
      <c r="D10" t="s">
        <v>16</v>
      </c>
      <c r="E10" s="1">
        <v>44165</v>
      </c>
      <c r="F10" s="1">
        <v>44984</v>
      </c>
      <c r="G10" s="1">
        <v>44986</v>
      </c>
      <c r="I10" t="str">
        <v>CUST</v>
      </c>
      <c r="J10" t="str">
        <v>1009</v>
      </c>
      <c r="K10" t="str">
        <v>Anita Sharma</v>
      </c>
      <c r="L10" t="str">
        <v>Furniture</v>
      </c>
      <c r="M10" t="str">
        <v>East</v>
      </c>
      <c r="N10">
        <f t="shared" si="0"/>
        <v>2</v>
      </c>
      <c r="O10" t="str">
        <f t="shared" si="1"/>
        <v>On time</v>
      </c>
      <c r="P10">
        <f t="shared" ca="1" si="2"/>
        <v>5</v>
      </c>
      <c r="Q10">
        <f t="shared" si="3"/>
        <v>2</v>
      </c>
    </row>
    <row r="11" spans="1:17" x14ac:dyDescent="0.3">
      <c r="A11" t="s">
        <v>27</v>
      </c>
      <c r="B11" t="s">
        <v>8</v>
      </c>
      <c r="C11" t="s">
        <v>15</v>
      </c>
      <c r="D11" t="s">
        <v>10</v>
      </c>
      <c r="E11" s="1">
        <v>44264</v>
      </c>
      <c r="F11" s="1">
        <v>44940</v>
      </c>
      <c r="G11" s="1">
        <v>44942</v>
      </c>
      <c r="I11" t="str">
        <v>CUST</v>
      </c>
      <c r="J11" t="str">
        <v>1010</v>
      </c>
      <c r="K11" t="str">
        <v>Anita Sharma</v>
      </c>
      <c r="L11" t="str">
        <v>Electronics</v>
      </c>
      <c r="M11" t="str">
        <v>North</v>
      </c>
      <c r="N11">
        <f t="shared" si="0"/>
        <v>2</v>
      </c>
      <c r="O11" t="str">
        <f t="shared" si="1"/>
        <v>On time</v>
      </c>
      <c r="P11">
        <f t="shared" ca="1" si="2"/>
        <v>5</v>
      </c>
      <c r="Q11">
        <f t="shared" si="3"/>
        <v>1</v>
      </c>
    </row>
    <row r="12" spans="1:17" x14ac:dyDescent="0.3">
      <c r="A12" t="s">
        <v>28</v>
      </c>
      <c r="B12" t="s">
        <v>18</v>
      </c>
      <c r="C12" t="s">
        <v>21</v>
      </c>
      <c r="D12" t="s">
        <v>29</v>
      </c>
      <c r="E12" s="1">
        <v>44384</v>
      </c>
      <c r="F12" s="1">
        <v>45274</v>
      </c>
      <c r="G12" s="1">
        <v>45279</v>
      </c>
      <c r="I12" t="str">
        <v>CUST</v>
      </c>
      <c r="J12" t="str">
        <v>1011</v>
      </c>
      <c r="K12" t="str">
        <v>John Doe</v>
      </c>
      <c r="L12" t="str">
        <v>Electronics</v>
      </c>
      <c r="M12" t="str">
        <v>West</v>
      </c>
      <c r="N12">
        <f t="shared" si="0"/>
        <v>5</v>
      </c>
      <c r="O12" t="str">
        <f t="shared" si="1"/>
        <v>Delayed</v>
      </c>
      <c r="P12">
        <f t="shared" ca="1" si="2"/>
        <v>4</v>
      </c>
      <c r="Q12">
        <f t="shared" si="3"/>
        <v>12</v>
      </c>
    </row>
    <row r="13" spans="1:17" x14ac:dyDescent="0.3">
      <c r="A13" t="s">
        <v>30</v>
      </c>
      <c r="B13" t="s">
        <v>18</v>
      </c>
      <c r="C13" t="s">
        <v>13</v>
      </c>
      <c r="D13" t="s">
        <v>29</v>
      </c>
      <c r="E13" s="1">
        <v>44481</v>
      </c>
      <c r="F13" s="1">
        <v>45187</v>
      </c>
      <c r="G13" s="1">
        <v>45190</v>
      </c>
      <c r="I13" t="str">
        <v>CUST</v>
      </c>
      <c r="J13" t="str">
        <v>1012</v>
      </c>
      <c r="K13" t="str">
        <v>John Doe</v>
      </c>
      <c r="L13" t="str">
        <v>Clothing</v>
      </c>
      <c r="M13" t="str">
        <v>West</v>
      </c>
      <c r="N13">
        <f t="shared" si="0"/>
        <v>3</v>
      </c>
      <c r="O13" t="str">
        <f t="shared" si="1"/>
        <v>On time</v>
      </c>
      <c r="P13">
        <f t="shared" ca="1" si="2"/>
        <v>4</v>
      </c>
      <c r="Q13">
        <f t="shared" si="3"/>
        <v>9</v>
      </c>
    </row>
    <row r="14" spans="1:17" x14ac:dyDescent="0.3">
      <c r="A14" t="s">
        <v>31</v>
      </c>
      <c r="B14" t="s">
        <v>12</v>
      </c>
      <c r="C14" t="s">
        <v>32</v>
      </c>
      <c r="D14" t="s">
        <v>10</v>
      </c>
      <c r="E14" s="1">
        <v>43835</v>
      </c>
      <c r="F14" s="1">
        <v>45124</v>
      </c>
      <c r="G14" s="1">
        <v>45127</v>
      </c>
      <c r="I14" t="str">
        <v>CUST</v>
      </c>
      <c r="J14" t="str">
        <v>1013</v>
      </c>
      <c r="K14" t="str">
        <v>Sneha Gupta</v>
      </c>
      <c r="L14" t="str">
        <v>Furniture</v>
      </c>
      <c r="M14" t="str">
        <v>North</v>
      </c>
      <c r="N14">
        <f t="shared" si="0"/>
        <v>3</v>
      </c>
      <c r="O14" t="str">
        <f t="shared" si="1"/>
        <v>On time</v>
      </c>
      <c r="P14">
        <f t="shared" ca="1" si="2"/>
        <v>6</v>
      </c>
      <c r="Q14">
        <f t="shared" si="3"/>
        <v>7</v>
      </c>
    </row>
    <row r="15" spans="1:17" x14ac:dyDescent="0.3">
      <c r="A15" t="s">
        <v>33</v>
      </c>
      <c r="B15" t="s">
        <v>20</v>
      </c>
      <c r="C15" t="s">
        <v>21</v>
      </c>
      <c r="D15" t="s">
        <v>22</v>
      </c>
      <c r="E15" s="1">
        <v>44024</v>
      </c>
      <c r="F15" s="1">
        <v>45169</v>
      </c>
      <c r="G15" s="1">
        <v>45170</v>
      </c>
      <c r="I15" t="str">
        <v>CUST</v>
      </c>
      <c r="J15" t="str">
        <v>1014</v>
      </c>
      <c r="K15" t="str">
        <v>Vikas Kumar</v>
      </c>
      <c r="L15" t="str">
        <v>Electronics</v>
      </c>
      <c r="M15" t="str">
        <v>North</v>
      </c>
      <c r="N15">
        <f t="shared" si="0"/>
        <v>1</v>
      </c>
      <c r="O15" t="str">
        <f t="shared" si="1"/>
        <v>On time</v>
      </c>
      <c r="P15">
        <f t="shared" ca="1" si="2"/>
        <v>5</v>
      </c>
      <c r="Q15">
        <f t="shared" si="3"/>
        <v>8</v>
      </c>
    </row>
    <row r="16" spans="1:17" x14ac:dyDescent="0.3">
      <c r="A16" t="s">
        <v>34</v>
      </c>
      <c r="B16" t="s">
        <v>12</v>
      </c>
      <c r="C16" t="s">
        <v>32</v>
      </c>
      <c r="D16" t="s">
        <v>10</v>
      </c>
      <c r="E16" s="1">
        <v>44095</v>
      </c>
      <c r="F16" s="1">
        <v>44947</v>
      </c>
      <c r="G16" s="1">
        <v>44953</v>
      </c>
      <c r="I16" t="str">
        <v>CUST</v>
      </c>
      <c r="J16" t="str">
        <v>1015</v>
      </c>
      <c r="K16" t="str">
        <v>Sneha Gupta</v>
      </c>
      <c r="L16" t="str">
        <v>Furniture</v>
      </c>
      <c r="M16" t="str">
        <v>North</v>
      </c>
      <c r="N16">
        <f t="shared" si="0"/>
        <v>6</v>
      </c>
      <c r="O16" t="str">
        <f t="shared" si="1"/>
        <v>Delayed</v>
      </c>
      <c r="P16">
        <f t="shared" ca="1" si="2"/>
        <v>5</v>
      </c>
      <c r="Q16">
        <f t="shared" si="3"/>
        <v>1</v>
      </c>
    </row>
    <row r="17" spans="1:17" x14ac:dyDescent="0.3">
      <c r="A17" t="s">
        <v>35</v>
      </c>
      <c r="B17" t="s">
        <v>36</v>
      </c>
      <c r="C17" t="s">
        <v>21</v>
      </c>
      <c r="D17" t="s">
        <v>16</v>
      </c>
      <c r="E17" s="1">
        <v>44346</v>
      </c>
      <c r="F17" s="1">
        <v>45064</v>
      </c>
      <c r="G17" s="1">
        <v>45066</v>
      </c>
      <c r="I17" t="str">
        <v>CUST</v>
      </c>
      <c r="J17" t="str">
        <v>1016</v>
      </c>
      <c r="K17" t="str">
        <v>Rahul Verma</v>
      </c>
      <c r="L17" t="str">
        <v>Electronics</v>
      </c>
      <c r="M17" t="str">
        <v>East</v>
      </c>
      <c r="N17">
        <f t="shared" si="0"/>
        <v>2</v>
      </c>
      <c r="O17" t="str">
        <f t="shared" si="1"/>
        <v>On time</v>
      </c>
      <c r="P17">
        <f t="shared" ca="1" si="2"/>
        <v>4</v>
      </c>
      <c r="Q17">
        <f t="shared" si="3"/>
        <v>5</v>
      </c>
    </row>
    <row r="18" spans="1:17" x14ac:dyDescent="0.3">
      <c r="A18" t="s">
        <v>37</v>
      </c>
      <c r="B18" t="s">
        <v>8</v>
      </c>
      <c r="C18" t="s">
        <v>15</v>
      </c>
      <c r="D18" t="s">
        <v>16</v>
      </c>
      <c r="E18" s="1">
        <v>44583</v>
      </c>
      <c r="F18" s="1">
        <v>45242</v>
      </c>
      <c r="G18" s="1">
        <v>45247</v>
      </c>
      <c r="I18" t="str">
        <v>CUST</v>
      </c>
      <c r="J18" t="str">
        <v>1017</v>
      </c>
      <c r="K18" t="str">
        <v>Anita Sharma</v>
      </c>
      <c r="L18" t="str">
        <v>Electronics</v>
      </c>
      <c r="M18" t="str">
        <v>East</v>
      </c>
      <c r="N18">
        <f t="shared" si="0"/>
        <v>5</v>
      </c>
      <c r="O18" t="str">
        <f t="shared" si="1"/>
        <v>Delayed</v>
      </c>
      <c r="P18">
        <f t="shared" ca="1" si="2"/>
        <v>4</v>
      </c>
      <c r="Q18">
        <f t="shared" si="3"/>
        <v>11</v>
      </c>
    </row>
    <row r="19" spans="1:17" x14ac:dyDescent="0.3">
      <c r="A19" t="s">
        <v>38</v>
      </c>
      <c r="B19" t="s">
        <v>12</v>
      </c>
      <c r="C19" t="s">
        <v>32</v>
      </c>
      <c r="D19" t="s">
        <v>39</v>
      </c>
      <c r="E19" s="1">
        <v>43912</v>
      </c>
      <c r="F19" s="1">
        <v>44983</v>
      </c>
      <c r="G19" s="1">
        <v>44984</v>
      </c>
      <c r="I19" t="str">
        <v>CUST</v>
      </c>
      <c r="J19" t="str">
        <v>1018</v>
      </c>
      <c r="K19" t="str">
        <v>Sneha Gupta</v>
      </c>
      <c r="L19" t="str">
        <v>Furniture</v>
      </c>
      <c r="M19" t="str">
        <v>South</v>
      </c>
      <c r="N19">
        <f t="shared" si="0"/>
        <v>1</v>
      </c>
      <c r="O19" t="str">
        <f t="shared" si="1"/>
        <v>On time</v>
      </c>
      <c r="P19">
        <f t="shared" ca="1" si="2"/>
        <v>6</v>
      </c>
      <c r="Q19">
        <f t="shared" si="3"/>
        <v>2</v>
      </c>
    </row>
    <row r="20" spans="1:17" x14ac:dyDescent="0.3">
      <c r="A20" t="s">
        <v>40</v>
      </c>
      <c r="B20" t="s">
        <v>20</v>
      </c>
      <c r="C20" t="s">
        <v>32</v>
      </c>
      <c r="D20" t="s">
        <v>39</v>
      </c>
      <c r="E20" s="1">
        <v>44036</v>
      </c>
      <c r="F20" s="1">
        <v>45178</v>
      </c>
      <c r="G20" s="1">
        <v>45182</v>
      </c>
      <c r="I20" t="str">
        <v>CUST</v>
      </c>
      <c r="J20" t="str">
        <v>1019</v>
      </c>
      <c r="K20" t="str">
        <v>Vikas Kumar</v>
      </c>
      <c r="L20" t="str">
        <v>Furniture</v>
      </c>
      <c r="M20" t="str">
        <v>South</v>
      </c>
      <c r="N20">
        <f t="shared" si="0"/>
        <v>4</v>
      </c>
      <c r="O20" t="str">
        <f t="shared" si="1"/>
        <v>On time</v>
      </c>
      <c r="P20">
        <f t="shared" ca="1" si="2"/>
        <v>5</v>
      </c>
      <c r="Q20">
        <f t="shared" si="3"/>
        <v>9</v>
      </c>
    </row>
    <row r="21" spans="1:17" x14ac:dyDescent="0.3">
      <c r="A21" t="s">
        <v>41</v>
      </c>
      <c r="B21" t="s">
        <v>36</v>
      </c>
      <c r="C21" t="s">
        <v>15</v>
      </c>
      <c r="D21" t="s">
        <v>10</v>
      </c>
      <c r="E21" s="1">
        <v>44820</v>
      </c>
      <c r="F21" s="1">
        <v>45093</v>
      </c>
      <c r="G21" s="1">
        <v>45094</v>
      </c>
      <c r="I21" t="str">
        <v>CUST</v>
      </c>
      <c r="J21" t="str">
        <v>1020</v>
      </c>
      <c r="K21" t="str">
        <v>Rahul Verma</v>
      </c>
      <c r="L21" t="str">
        <v>Electronics</v>
      </c>
      <c r="M21" t="str">
        <v>North</v>
      </c>
      <c r="N21">
        <f t="shared" si="0"/>
        <v>1</v>
      </c>
      <c r="O21" t="str">
        <f t="shared" si="1"/>
        <v>On time</v>
      </c>
      <c r="P21">
        <f t="shared" ca="1" si="2"/>
        <v>3</v>
      </c>
      <c r="Q21">
        <f t="shared" si="3"/>
        <v>6</v>
      </c>
    </row>
    <row r="22" spans="1:17" x14ac:dyDescent="0.3">
      <c r="A22" t="s">
        <v>42</v>
      </c>
      <c r="B22" t="s">
        <v>18</v>
      </c>
      <c r="C22" t="s">
        <v>21</v>
      </c>
      <c r="D22" t="s">
        <v>39</v>
      </c>
      <c r="E22" s="1">
        <v>44414</v>
      </c>
      <c r="F22" s="1">
        <v>45241</v>
      </c>
      <c r="G22" s="1">
        <v>45244</v>
      </c>
      <c r="I22" t="str">
        <v>CUST</v>
      </c>
      <c r="J22" t="str">
        <v>1021</v>
      </c>
      <c r="K22" t="str">
        <v>John Doe</v>
      </c>
      <c r="L22" t="str">
        <v>Electronics</v>
      </c>
      <c r="M22" t="str">
        <v>South</v>
      </c>
      <c r="N22">
        <f t="shared" si="0"/>
        <v>3</v>
      </c>
      <c r="O22" t="str">
        <f t="shared" si="1"/>
        <v>On time</v>
      </c>
      <c r="P22">
        <f t="shared" ca="1" si="2"/>
        <v>4</v>
      </c>
      <c r="Q22">
        <f t="shared" si="3"/>
        <v>11</v>
      </c>
    </row>
    <row r="23" spans="1:17" x14ac:dyDescent="0.3">
      <c r="A23" t="s">
        <v>43</v>
      </c>
      <c r="B23" t="s">
        <v>36</v>
      </c>
      <c r="C23" t="s">
        <v>9</v>
      </c>
      <c r="D23" t="s">
        <v>22</v>
      </c>
      <c r="E23" s="1">
        <v>44702</v>
      </c>
      <c r="F23" s="1">
        <v>44941</v>
      </c>
      <c r="G23" s="1">
        <v>44943</v>
      </c>
      <c r="I23" t="str">
        <v>CUST</v>
      </c>
      <c r="J23" t="str">
        <v>1022</v>
      </c>
      <c r="K23" t="str">
        <v>Rahul Verma</v>
      </c>
      <c r="L23" t="str">
        <v>Furniture</v>
      </c>
      <c r="M23" t="str">
        <v>North</v>
      </c>
      <c r="N23">
        <f t="shared" si="0"/>
        <v>2</v>
      </c>
      <c r="O23" t="str">
        <f t="shared" si="1"/>
        <v>On time</v>
      </c>
      <c r="P23">
        <f t="shared" ca="1" si="2"/>
        <v>3</v>
      </c>
      <c r="Q23">
        <f t="shared" si="3"/>
        <v>1</v>
      </c>
    </row>
    <row r="24" spans="1:17" x14ac:dyDescent="0.3">
      <c r="A24" t="s">
        <v>44</v>
      </c>
      <c r="B24" t="s">
        <v>36</v>
      </c>
      <c r="C24" t="s">
        <v>9</v>
      </c>
      <c r="D24" t="s">
        <v>16</v>
      </c>
      <c r="E24" s="1">
        <v>43973</v>
      </c>
      <c r="F24" s="1">
        <v>44947</v>
      </c>
      <c r="G24" s="1">
        <v>44953</v>
      </c>
      <c r="I24" t="str">
        <v>CUST</v>
      </c>
      <c r="J24" t="str">
        <v>1023</v>
      </c>
      <c r="K24" t="str">
        <v>Rahul Verma</v>
      </c>
      <c r="L24" t="str">
        <v>Furniture</v>
      </c>
      <c r="M24" t="str">
        <v>East</v>
      </c>
      <c r="N24">
        <f t="shared" si="0"/>
        <v>6</v>
      </c>
      <c r="O24" t="str">
        <f t="shared" si="1"/>
        <v>Delayed</v>
      </c>
      <c r="P24">
        <f t="shared" ca="1" si="2"/>
        <v>5</v>
      </c>
      <c r="Q24">
        <f t="shared" si="3"/>
        <v>1</v>
      </c>
    </row>
    <row r="25" spans="1:17" x14ac:dyDescent="0.3">
      <c r="A25" t="s">
        <v>45</v>
      </c>
      <c r="B25" t="s">
        <v>18</v>
      </c>
      <c r="C25" t="s">
        <v>32</v>
      </c>
      <c r="D25" t="s">
        <v>10</v>
      </c>
      <c r="E25" s="1">
        <v>44017</v>
      </c>
      <c r="F25" s="1">
        <v>45199</v>
      </c>
      <c r="G25" s="1">
        <v>45204</v>
      </c>
      <c r="I25" t="str">
        <v>CUST</v>
      </c>
      <c r="J25" t="str">
        <v>1024</v>
      </c>
      <c r="K25" t="str">
        <v>John Doe</v>
      </c>
      <c r="L25" t="str">
        <v>Furniture</v>
      </c>
      <c r="M25" t="str">
        <v>North</v>
      </c>
      <c r="N25">
        <f t="shared" si="0"/>
        <v>5</v>
      </c>
      <c r="O25" t="str">
        <f t="shared" si="1"/>
        <v>Delayed</v>
      </c>
      <c r="P25">
        <f t="shared" ca="1" si="2"/>
        <v>5</v>
      </c>
      <c r="Q25">
        <f t="shared" si="3"/>
        <v>9</v>
      </c>
    </row>
    <row r="26" spans="1:17" x14ac:dyDescent="0.3">
      <c r="A26" t="s">
        <v>46</v>
      </c>
      <c r="B26" t="s">
        <v>20</v>
      </c>
      <c r="C26" t="s">
        <v>9</v>
      </c>
      <c r="D26" t="s">
        <v>16</v>
      </c>
      <c r="E26" s="1">
        <v>43866</v>
      </c>
      <c r="F26" s="1">
        <v>44996</v>
      </c>
      <c r="G26" s="1">
        <v>45003</v>
      </c>
      <c r="I26" t="str">
        <v>CUST</v>
      </c>
      <c r="J26" t="str">
        <v>1025</v>
      </c>
      <c r="K26" t="str">
        <v>Vikas Kumar</v>
      </c>
      <c r="L26" t="str">
        <v>Furniture</v>
      </c>
      <c r="M26" t="str">
        <v>East</v>
      </c>
      <c r="N26">
        <f t="shared" si="0"/>
        <v>7</v>
      </c>
      <c r="O26" t="str">
        <f t="shared" si="1"/>
        <v>Delayed</v>
      </c>
      <c r="P26">
        <f t="shared" ca="1" si="2"/>
        <v>6</v>
      </c>
      <c r="Q26">
        <f t="shared" si="3"/>
        <v>3</v>
      </c>
    </row>
    <row r="27" spans="1:17" x14ac:dyDescent="0.3">
      <c r="A27" t="s">
        <v>47</v>
      </c>
      <c r="B27" t="s">
        <v>36</v>
      </c>
      <c r="C27" t="s">
        <v>21</v>
      </c>
      <c r="D27" t="s">
        <v>16</v>
      </c>
      <c r="E27" s="1">
        <v>43888</v>
      </c>
      <c r="F27" s="1">
        <v>45012</v>
      </c>
      <c r="G27" s="1">
        <v>45014</v>
      </c>
      <c r="I27" t="str">
        <v>CUST</v>
      </c>
      <c r="J27" t="str">
        <v>1026</v>
      </c>
      <c r="K27" t="str">
        <v>Rahul Verma</v>
      </c>
      <c r="L27" t="str">
        <v>Electronics</v>
      </c>
      <c r="M27" t="str">
        <v>East</v>
      </c>
      <c r="N27">
        <f t="shared" si="0"/>
        <v>2</v>
      </c>
      <c r="O27" t="str">
        <f t="shared" si="1"/>
        <v>On time</v>
      </c>
      <c r="P27">
        <f t="shared" ca="1" si="2"/>
        <v>6</v>
      </c>
      <c r="Q27">
        <f t="shared" si="3"/>
        <v>3</v>
      </c>
    </row>
    <row r="28" spans="1:17" x14ac:dyDescent="0.3">
      <c r="A28" t="s">
        <v>48</v>
      </c>
      <c r="B28" t="s">
        <v>8</v>
      </c>
      <c r="C28" t="s">
        <v>21</v>
      </c>
      <c r="D28" t="s">
        <v>22</v>
      </c>
      <c r="E28" s="1">
        <v>44285</v>
      </c>
      <c r="F28" s="1">
        <v>45174</v>
      </c>
      <c r="G28" s="1">
        <v>45177</v>
      </c>
      <c r="I28" t="str">
        <v>CUST</v>
      </c>
      <c r="J28" t="str">
        <v>1027</v>
      </c>
      <c r="K28" t="str">
        <v>Anita Sharma</v>
      </c>
      <c r="L28" t="str">
        <v>Electronics</v>
      </c>
      <c r="M28" t="str">
        <v>North</v>
      </c>
      <c r="N28">
        <f t="shared" si="0"/>
        <v>3</v>
      </c>
      <c r="O28" t="str">
        <f t="shared" si="1"/>
        <v>On time</v>
      </c>
      <c r="P28">
        <f t="shared" ca="1" si="2"/>
        <v>4</v>
      </c>
      <c r="Q28">
        <f t="shared" si="3"/>
        <v>9</v>
      </c>
    </row>
    <row r="29" spans="1:17" x14ac:dyDescent="0.3">
      <c r="A29" t="s">
        <v>49</v>
      </c>
      <c r="B29" t="s">
        <v>36</v>
      </c>
      <c r="C29" t="s">
        <v>15</v>
      </c>
      <c r="D29" t="s">
        <v>29</v>
      </c>
      <c r="E29" s="1">
        <v>43947</v>
      </c>
      <c r="F29" s="1">
        <v>45256</v>
      </c>
      <c r="G29" s="1">
        <v>45261</v>
      </c>
      <c r="I29" t="str">
        <v>CUST</v>
      </c>
      <c r="J29" t="str">
        <v>1028</v>
      </c>
      <c r="K29" t="str">
        <v>Rahul Verma</v>
      </c>
      <c r="L29" t="str">
        <v>Electronics</v>
      </c>
      <c r="M29" t="str">
        <v>West</v>
      </c>
      <c r="N29">
        <f t="shared" si="0"/>
        <v>5</v>
      </c>
      <c r="O29" t="str">
        <f t="shared" si="1"/>
        <v>Delayed</v>
      </c>
      <c r="P29">
        <f t="shared" ca="1" si="2"/>
        <v>5</v>
      </c>
      <c r="Q29">
        <f t="shared" si="3"/>
        <v>11</v>
      </c>
    </row>
    <row r="30" spans="1:17" x14ac:dyDescent="0.3">
      <c r="A30" t="s">
        <v>50</v>
      </c>
      <c r="B30" t="s">
        <v>20</v>
      </c>
      <c r="C30" t="s">
        <v>9</v>
      </c>
      <c r="D30" t="s">
        <v>10</v>
      </c>
      <c r="E30" s="1">
        <v>44127</v>
      </c>
      <c r="F30" s="1">
        <v>45027</v>
      </c>
      <c r="G30" s="1">
        <v>45032</v>
      </c>
      <c r="I30" t="str">
        <v>CUST</v>
      </c>
      <c r="J30" t="str">
        <v>1029</v>
      </c>
      <c r="K30" t="str">
        <v>Vikas Kumar</v>
      </c>
      <c r="L30" t="str">
        <v>Furniture</v>
      </c>
      <c r="M30" t="str">
        <v>North</v>
      </c>
      <c r="N30">
        <f t="shared" si="0"/>
        <v>5</v>
      </c>
      <c r="O30" t="str">
        <f t="shared" si="1"/>
        <v>Delayed</v>
      </c>
      <c r="P30">
        <f t="shared" ca="1" si="2"/>
        <v>5</v>
      </c>
      <c r="Q30">
        <f t="shared" si="3"/>
        <v>4</v>
      </c>
    </row>
    <row r="31" spans="1:17" x14ac:dyDescent="0.3">
      <c r="A31" t="s">
        <v>51</v>
      </c>
      <c r="B31" t="s">
        <v>20</v>
      </c>
      <c r="C31" t="s">
        <v>32</v>
      </c>
      <c r="D31" t="s">
        <v>10</v>
      </c>
      <c r="E31" s="1">
        <v>43838</v>
      </c>
      <c r="F31" s="1">
        <v>44991</v>
      </c>
      <c r="G31" s="1">
        <v>44996</v>
      </c>
      <c r="I31" t="str">
        <v>CUST</v>
      </c>
      <c r="J31" t="str">
        <v>1030</v>
      </c>
      <c r="K31" t="str">
        <v>Vikas Kumar</v>
      </c>
      <c r="L31" t="str">
        <v>Furniture</v>
      </c>
      <c r="M31" t="str">
        <v>North</v>
      </c>
      <c r="N31">
        <f t="shared" si="0"/>
        <v>5</v>
      </c>
      <c r="O31" t="str">
        <f t="shared" si="1"/>
        <v>Delayed</v>
      </c>
      <c r="P31">
        <f t="shared" ca="1" si="2"/>
        <v>6</v>
      </c>
      <c r="Q31">
        <f t="shared" si="3"/>
        <v>3</v>
      </c>
    </row>
    <row r="32" spans="1:17" x14ac:dyDescent="0.3">
      <c r="A32" t="s">
        <v>52</v>
      </c>
      <c r="B32" t="s">
        <v>20</v>
      </c>
      <c r="C32" t="s">
        <v>9</v>
      </c>
      <c r="D32" t="s">
        <v>16</v>
      </c>
      <c r="E32" s="1">
        <v>44524</v>
      </c>
      <c r="F32" s="1">
        <v>45195</v>
      </c>
      <c r="G32" s="1">
        <v>45197</v>
      </c>
      <c r="I32" t="str">
        <v>CUST</v>
      </c>
      <c r="J32" t="str">
        <v>1031</v>
      </c>
      <c r="K32" t="str">
        <v>Vikas Kumar</v>
      </c>
      <c r="L32" t="str">
        <v>Furniture</v>
      </c>
      <c r="M32" t="str">
        <v>East</v>
      </c>
      <c r="N32">
        <f t="shared" si="0"/>
        <v>2</v>
      </c>
      <c r="O32" t="str">
        <f t="shared" si="1"/>
        <v>On time</v>
      </c>
      <c r="P32">
        <f t="shared" ca="1" si="2"/>
        <v>4</v>
      </c>
      <c r="Q32">
        <f t="shared" si="3"/>
        <v>9</v>
      </c>
    </row>
    <row r="33" spans="1:17" x14ac:dyDescent="0.3">
      <c r="A33" t="s">
        <v>53</v>
      </c>
      <c r="B33" t="s">
        <v>18</v>
      </c>
      <c r="C33" t="s">
        <v>32</v>
      </c>
      <c r="D33" t="s">
        <v>39</v>
      </c>
      <c r="E33" s="1">
        <v>44068</v>
      </c>
      <c r="F33" s="1">
        <v>45164</v>
      </c>
      <c r="G33" s="1">
        <v>45167</v>
      </c>
      <c r="I33" t="str">
        <v>CUST</v>
      </c>
      <c r="J33" t="str">
        <v>1032</v>
      </c>
      <c r="K33" t="str">
        <v>John Doe</v>
      </c>
      <c r="L33" t="str">
        <v>Furniture</v>
      </c>
      <c r="M33" t="str">
        <v>South</v>
      </c>
      <c r="N33">
        <f t="shared" si="0"/>
        <v>3</v>
      </c>
      <c r="O33" t="str">
        <f t="shared" si="1"/>
        <v>On time</v>
      </c>
      <c r="P33">
        <f t="shared" ca="1" si="2"/>
        <v>5</v>
      </c>
      <c r="Q33">
        <f t="shared" si="3"/>
        <v>8</v>
      </c>
    </row>
    <row r="34" spans="1:17" x14ac:dyDescent="0.3">
      <c r="A34" t="s">
        <v>54</v>
      </c>
      <c r="B34" t="s">
        <v>8</v>
      </c>
      <c r="C34" t="s">
        <v>9</v>
      </c>
      <c r="D34" t="s">
        <v>16</v>
      </c>
      <c r="E34" s="1">
        <v>44492</v>
      </c>
      <c r="F34" s="1">
        <v>44968</v>
      </c>
      <c r="G34" s="1">
        <v>44975</v>
      </c>
      <c r="I34" t="str">
        <v>CUST</v>
      </c>
      <c r="J34" t="str">
        <v>1033</v>
      </c>
      <c r="K34" t="str">
        <v>Anita Sharma</v>
      </c>
      <c r="L34" t="str">
        <v>Furniture</v>
      </c>
      <c r="M34" t="str">
        <v>East</v>
      </c>
      <c r="N34">
        <f t="shared" si="0"/>
        <v>7</v>
      </c>
      <c r="O34" t="str">
        <f t="shared" si="1"/>
        <v>Delayed</v>
      </c>
      <c r="P34">
        <f t="shared" ca="1" si="2"/>
        <v>4</v>
      </c>
      <c r="Q34">
        <f t="shared" si="3"/>
        <v>2</v>
      </c>
    </row>
    <row r="35" spans="1:17" x14ac:dyDescent="0.3">
      <c r="A35" t="s">
        <v>55</v>
      </c>
      <c r="B35" t="s">
        <v>8</v>
      </c>
      <c r="C35" t="s">
        <v>15</v>
      </c>
      <c r="D35" t="s">
        <v>29</v>
      </c>
      <c r="E35" s="1">
        <v>43845</v>
      </c>
      <c r="F35" s="1">
        <v>45066</v>
      </c>
      <c r="G35" s="1">
        <v>45073</v>
      </c>
      <c r="I35" t="str">
        <v>CUST</v>
      </c>
      <c r="J35" t="str">
        <v>1034</v>
      </c>
      <c r="K35" t="str">
        <v>Anita Sharma</v>
      </c>
      <c r="L35" t="str">
        <v>Electronics</v>
      </c>
      <c r="M35" t="str">
        <v>West</v>
      </c>
      <c r="N35">
        <f t="shared" si="0"/>
        <v>7</v>
      </c>
      <c r="O35" t="str">
        <f t="shared" si="1"/>
        <v>Delayed</v>
      </c>
      <c r="P35">
        <f t="shared" ca="1" si="2"/>
        <v>6</v>
      </c>
      <c r="Q35">
        <f t="shared" si="3"/>
        <v>5</v>
      </c>
    </row>
    <row r="36" spans="1:17" x14ac:dyDescent="0.3">
      <c r="A36" t="s">
        <v>56</v>
      </c>
      <c r="B36" t="s">
        <v>12</v>
      </c>
      <c r="C36" t="s">
        <v>15</v>
      </c>
      <c r="D36" t="s">
        <v>16</v>
      </c>
      <c r="E36" s="1">
        <v>44513</v>
      </c>
      <c r="F36" s="1">
        <v>45205</v>
      </c>
      <c r="G36" s="1">
        <v>45212</v>
      </c>
      <c r="I36" t="str">
        <v>CUST</v>
      </c>
      <c r="J36" t="str">
        <v>1035</v>
      </c>
      <c r="K36" t="str">
        <v>Sneha Gupta</v>
      </c>
      <c r="L36" t="str">
        <v>Electronics</v>
      </c>
      <c r="M36" t="str">
        <v>East</v>
      </c>
      <c r="N36">
        <f t="shared" si="0"/>
        <v>7</v>
      </c>
      <c r="O36" t="str">
        <f t="shared" si="1"/>
        <v>Delayed</v>
      </c>
      <c r="P36">
        <f t="shared" ca="1" si="2"/>
        <v>4</v>
      </c>
      <c r="Q36">
        <f t="shared" si="3"/>
        <v>10</v>
      </c>
    </row>
    <row r="37" spans="1:17" x14ac:dyDescent="0.3">
      <c r="A37" t="s">
        <v>57</v>
      </c>
      <c r="B37" t="s">
        <v>8</v>
      </c>
      <c r="C37" t="s">
        <v>15</v>
      </c>
      <c r="D37" t="s">
        <v>10</v>
      </c>
      <c r="E37" s="1">
        <v>44381</v>
      </c>
      <c r="F37" s="1">
        <v>45045</v>
      </c>
      <c r="G37" s="1">
        <v>45048</v>
      </c>
      <c r="I37" t="str">
        <v>CUST</v>
      </c>
      <c r="J37" t="str">
        <v>1036</v>
      </c>
      <c r="K37" t="str">
        <v>Anita Sharma</v>
      </c>
      <c r="L37" t="str">
        <v>Electronics</v>
      </c>
      <c r="M37" t="str">
        <v>North</v>
      </c>
      <c r="N37">
        <f t="shared" si="0"/>
        <v>3</v>
      </c>
      <c r="O37" t="str">
        <f t="shared" si="1"/>
        <v>On time</v>
      </c>
      <c r="P37">
        <f t="shared" ca="1" si="2"/>
        <v>4</v>
      </c>
      <c r="Q37">
        <f t="shared" si="3"/>
        <v>4</v>
      </c>
    </row>
    <row r="38" spans="1:17" x14ac:dyDescent="0.3">
      <c r="A38" t="s">
        <v>58</v>
      </c>
      <c r="B38" t="s">
        <v>20</v>
      </c>
      <c r="C38" t="s">
        <v>32</v>
      </c>
      <c r="D38" t="s">
        <v>39</v>
      </c>
      <c r="E38" s="1">
        <v>43965</v>
      </c>
      <c r="F38" s="1">
        <v>45101</v>
      </c>
      <c r="G38" s="1">
        <v>45108</v>
      </c>
      <c r="I38" t="str">
        <v>CUST</v>
      </c>
      <c r="J38" t="str">
        <v>1037</v>
      </c>
      <c r="K38" t="str">
        <v>Vikas Kumar</v>
      </c>
      <c r="L38" t="str">
        <v>Furniture</v>
      </c>
      <c r="M38" t="str">
        <v>South</v>
      </c>
      <c r="N38">
        <f t="shared" si="0"/>
        <v>7</v>
      </c>
      <c r="O38" t="str">
        <f t="shared" si="1"/>
        <v>Delayed</v>
      </c>
      <c r="P38">
        <f t="shared" ca="1" si="2"/>
        <v>5</v>
      </c>
      <c r="Q38">
        <f t="shared" si="3"/>
        <v>6</v>
      </c>
    </row>
    <row r="39" spans="1:17" x14ac:dyDescent="0.3">
      <c r="A39" t="s">
        <v>59</v>
      </c>
      <c r="B39" t="s">
        <v>8</v>
      </c>
      <c r="C39" t="s">
        <v>9</v>
      </c>
      <c r="D39" t="s">
        <v>29</v>
      </c>
      <c r="E39" s="1">
        <v>44455</v>
      </c>
      <c r="F39" s="1">
        <v>45285</v>
      </c>
      <c r="G39" s="1">
        <v>45292</v>
      </c>
      <c r="I39" t="str">
        <v>CUST</v>
      </c>
      <c r="J39" t="str">
        <v>1038</v>
      </c>
      <c r="K39" t="str">
        <v>Anita Sharma</v>
      </c>
      <c r="L39" t="str">
        <v>Furniture</v>
      </c>
      <c r="M39" t="str">
        <v>West</v>
      </c>
      <c r="N39">
        <f t="shared" si="0"/>
        <v>7</v>
      </c>
      <c r="O39" t="str">
        <f t="shared" si="1"/>
        <v>Delayed</v>
      </c>
      <c r="P39">
        <f t="shared" ca="1" si="2"/>
        <v>4</v>
      </c>
      <c r="Q39">
        <f t="shared" si="3"/>
        <v>12</v>
      </c>
    </row>
    <row r="40" spans="1:17" x14ac:dyDescent="0.3">
      <c r="A40" t="s">
        <v>60</v>
      </c>
      <c r="B40" t="s">
        <v>12</v>
      </c>
      <c r="C40" t="s">
        <v>15</v>
      </c>
      <c r="D40" t="s">
        <v>39</v>
      </c>
      <c r="E40" s="1">
        <v>44219</v>
      </c>
      <c r="F40" s="1">
        <v>44991</v>
      </c>
      <c r="G40" s="1">
        <v>44998</v>
      </c>
      <c r="I40" t="str">
        <v>CUST</v>
      </c>
      <c r="J40" t="str">
        <v>1039</v>
      </c>
      <c r="K40" t="str">
        <v>Sneha Gupta</v>
      </c>
      <c r="L40" t="str">
        <v>Electronics</v>
      </c>
      <c r="M40" t="str">
        <v>South</v>
      </c>
      <c r="N40">
        <f t="shared" si="0"/>
        <v>7</v>
      </c>
      <c r="O40" t="str">
        <f t="shared" si="1"/>
        <v>Delayed</v>
      </c>
      <c r="P40">
        <f t="shared" ca="1" si="2"/>
        <v>5</v>
      </c>
      <c r="Q40">
        <f t="shared" si="3"/>
        <v>3</v>
      </c>
    </row>
    <row r="41" spans="1:17" x14ac:dyDescent="0.3">
      <c r="A41" t="s">
        <v>61</v>
      </c>
      <c r="B41" t="s">
        <v>8</v>
      </c>
      <c r="C41" t="s">
        <v>15</v>
      </c>
      <c r="D41" t="s">
        <v>10</v>
      </c>
      <c r="E41" s="1">
        <v>44524</v>
      </c>
      <c r="F41" s="1">
        <v>45090</v>
      </c>
      <c r="G41" s="1">
        <v>45097</v>
      </c>
      <c r="I41" t="str">
        <v>CUST</v>
      </c>
      <c r="J41" t="str">
        <v>1040</v>
      </c>
      <c r="K41" t="str">
        <v>Anita Sharma</v>
      </c>
      <c r="L41" t="str">
        <v>Electronics</v>
      </c>
      <c r="M41" t="str">
        <v>North</v>
      </c>
      <c r="N41">
        <f t="shared" si="0"/>
        <v>7</v>
      </c>
      <c r="O41" t="str">
        <f t="shared" si="1"/>
        <v>Delayed</v>
      </c>
      <c r="P41">
        <f t="shared" ca="1" si="2"/>
        <v>4</v>
      </c>
      <c r="Q41">
        <f t="shared" si="3"/>
        <v>6</v>
      </c>
    </row>
    <row r="42" spans="1:17" x14ac:dyDescent="0.3">
      <c r="A42" t="s">
        <v>62</v>
      </c>
      <c r="B42" t="s">
        <v>12</v>
      </c>
      <c r="C42" t="s">
        <v>32</v>
      </c>
      <c r="D42" t="s">
        <v>22</v>
      </c>
      <c r="E42" s="1">
        <v>44647</v>
      </c>
      <c r="F42" s="1">
        <v>45247</v>
      </c>
      <c r="G42" s="1">
        <v>45253</v>
      </c>
      <c r="I42" t="str">
        <v>CUST</v>
      </c>
      <c r="J42" t="str">
        <v>1041</v>
      </c>
      <c r="K42" t="str">
        <v>Sneha Gupta</v>
      </c>
      <c r="L42" t="str">
        <v>Furniture</v>
      </c>
      <c r="M42" t="str">
        <v>North</v>
      </c>
      <c r="N42">
        <f t="shared" si="0"/>
        <v>6</v>
      </c>
      <c r="O42" t="str">
        <f t="shared" si="1"/>
        <v>Delayed</v>
      </c>
      <c r="P42">
        <f t="shared" ca="1" si="2"/>
        <v>3</v>
      </c>
      <c r="Q42">
        <f t="shared" si="3"/>
        <v>11</v>
      </c>
    </row>
    <row r="43" spans="1:17" x14ac:dyDescent="0.3">
      <c r="A43" t="s">
        <v>63</v>
      </c>
      <c r="B43" t="s">
        <v>8</v>
      </c>
      <c r="C43" t="s">
        <v>15</v>
      </c>
      <c r="D43" t="s">
        <v>16</v>
      </c>
      <c r="E43" s="1">
        <v>44224</v>
      </c>
      <c r="F43" s="1">
        <v>45230</v>
      </c>
      <c r="G43" s="1">
        <v>45234</v>
      </c>
      <c r="I43" t="str">
        <v>CUST</v>
      </c>
      <c r="J43" t="str">
        <v>1042</v>
      </c>
      <c r="K43" t="str">
        <v>Anita Sharma</v>
      </c>
      <c r="L43" t="str">
        <v>Electronics</v>
      </c>
      <c r="M43" t="str">
        <v>East</v>
      </c>
      <c r="N43">
        <f t="shared" si="0"/>
        <v>4</v>
      </c>
      <c r="O43" t="str">
        <f t="shared" si="1"/>
        <v>On time</v>
      </c>
      <c r="P43">
        <f t="shared" ca="1" si="2"/>
        <v>5</v>
      </c>
      <c r="Q43">
        <f t="shared" si="3"/>
        <v>10</v>
      </c>
    </row>
    <row r="44" spans="1:17" x14ac:dyDescent="0.3">
      <c r="A44" t="s">
        <v>64</v>
      </c>
      <c r="B44" t="s">
        <v>8</v>
      </c>
      <c r="C44" t="s">
        <v>9</v>
      </c>
      <c r="D44" t="s">
        <v>16</v>
      </c>
      <c r="E44" s="1">
        <v>43965</v>
      </c>
      <c r="F44" s="1">
        <v>44950</v>
      </c>
      <c r="G44" s="1">
        <v>44954</v>
      </c>
      <c r="I44" t="str">
        <v>CUST</v>
      </c>
      <c r="J44" t="str">
        <v>1043</v>
      </c>
      <c r="K44" t="str">
        <v>Anita Sharma</v>
      </c>
      <c r="L44" t="str">
        <v>Furniture</v>
      </c>
      <c r="M44" t="str">
        <v>East</v>
      </c>
      <c r="N44">
        <f t="shared" si="0"/>
        <v>4</v>
      </c>
      <c r="O44" t="str">
        <f t="shared" si="1"/>
        <v>On time</v>
      </c>
      <c r="P44">
        <f t="shared" ca="1" si="2"/>
        <v>5</v>
      </c>
      <c r="Q44">
        <f t="shared" si="3"/>
        <v>1</v>
      </c>
    </row>
    <row r="45" spans="1:17" x14ac:dyDescent="0.3">
      <c r="A45" t="s">
        <v>65</v>
      </c>
      <c r="B45" t="s">
        <v>20</v>
      </c>
      <c r="C45" t="s">
        <v>32</v>
      </c>
      <c r="D45" t="s">
        <v>22</v>
      </c>
      <c r="E45" s="1">
        <v>44792</v>
      </c>
      <c r="F45" s="1">
        <v>45281</v>
      </c>
      <c r="G45" s="1">
        <v>45282</v>
      </c>
      <c r="I45" t="str">
        <v>CUST</v>
      </c>
      <c r="J45" t="str">
        <v>1044</v>
      </c>
      <c r="K45" t="str">
        <v>Vikas Kumar</v>
      </c>
      <c r="L45" t="str">
        <v>Furniture</v>
      </c>
      <c r="M45" t="str">
        <v>North</v>
      </c>
      <c r="N45">
        <f t="shared" si="0"/>
        <v>1</v>
      </c>
      <c r="O45" t="str">
        <f t="shared" si="1"/>
        <v>On time</v>
      </c>
      <c r="P45">
        <f t="shared" ca="1" si="2"/>
        <v>3</v>
      </c>
      <c r="Q45">
        <f t="shared" si="3"/>
        <v>12</v>
      </c>
    </row>
    <row r="46" spans="1:17" x14ac:dyDescent="0.3">
      <c r="A46" t="s">
        <v>66</v>
      </c>
      <c r="B46" t="s">
        <v>8</v>
      </c>
      <c r="C46" t="s">
        <v>9</v>
      </c>
      <c r="D46" t="s">
        <v>22</v>
      </c>
      <c r="E46" s="1">
        <v>44751</v>
      </c>
      <c r="F46" s="1">
        <v>44982</v>
      </c>
      <c r="G46" s="1">
        <v>44987</v>
      </c>
      <c r="I46" t="str">
        <v>CUST</v>
      </c>
      <c r="J46" t="str">
        <v>1045</v>
      </c>
      <c r="K46" t="str">
        <v>Anita Sharma</v>
      </c>
      <c r="L46" t="str">
        <v>Furniture</v>
      </c>
      <c r="M46" t="str">
        <v>North</v>
      </c>
      <c r="N46">
        <f t="shared" si="0"/>
        <v>5</v>
      </c>
      <c r="O46" t="str">
        <f t="shared" si="1"/>
        <v>Delayed</v>
      </c>
      <c r="P46">
        <f t="shared" ca="1" si="2"/>
        <v>3</v>
      </c>
      <c r="Q46">
        <f t="shared" si="3"/>
        <v>2</v>
      </c>
    </row>
    <row r="47" spans="1:17" x14ac:dyDescent="0.3">
      <c r="A47" t="s">
        <v>67</v>
      </c>
      <c r="B47" t="s">
        <v>36</v>
      </c>
      <c r="C47" t="s">
        <v>9</v>
      </c>
      <c r="D47" t="s">
        <v>39</v>
      </c>
      <c r="E47" s="1">
        <v>44675</v>
      </c>
      <c r="F47" s="1">
        <v>45085</v>
      </c>
      <c r="G47" s="1">
        <v>45087</v>
      </c>
      <c r="I47" t="str">
        <v>CUST</v>
      </c>
      <c r="J47" t="str">
        <v>1046</v>
      </c>
      <c r="K47" t="str">
        <v>Rahul Verma</v>
      </c>
      <c r="L47" t="str">
        <v>Furniture</v>
      </c>
      <c r="M47" t="str">
        <v>South</v>
      </c>
      <c r="N47">
        <f t="shared" si="0"/>
        <v>2</v>
      </c>
      <c r="O47" t="str">
        <f t="shared" si="1"/>
        <v>On time</v>
      </c>
      <c r="P47">
        <f t="shared" ca="1" si="2"/>
        <v>3</v>
      </c>
      <c r="Q47">
        <f t="shared" si="3"/>
        <v>6</v>
      </c>
    </row>
    <row r="48" spans="1:17" x14ac:dyDescent="0.3">
      <c r="A48" t="s">
        <v>68</v>
      </c>
      <c r="B48" t="s">
        <v>20</v>
      </c>
      <c r="C48" t="s">
        <v>32</v>
      </c>
      <c r="D48" t="s">
        <v>39</v>
      </c>
      <c r="E48" s="1">
        <v>44491</v>
      </c>
      <c r="F48" s="1">
        <v>45185</v>
      </c>
      <c r="G48" s="1">
        <v>45187</v>
      </c>
      <c r="I48" t="str">
        <v>CUST</v>
      </c>
      <c r="J48" t="str">
        <v>1047</v>
      </c>
      <c r="K48" t="str">
        <v>Vikas Kumar</v>
      </c>
      <c r="L48" t="str">
        <v>Furniture</v>
      </c>
      <c r="M48" t="str">
        <v>South</v>
      </c>
      <c r="N48">
        <f t="shared" si="0"/>
        <v>2</v>
      </c>
      <c r="O48" t="str">
        <f t="shared" si="1"/>
        <v>On time</v>
      </c>
      <c r="P48">
        <f t="shared" ca="1" si="2"/>
        <v>4</v>
      </c>
      <c r="Q48">
        <f t="shared" si="3"/>
        <v>9</v>
      </c>
    </row>
    <row r="49" spans="1:17" x14ac:dyDescent="0.3">
      <c r="A49" t="s">
        <v>69</v>
      </c>
      <c r="B49" t="s">
        <v>8</v>
      </c>
      <c r="C49" t="s">
        <v>9</v>
      </c>
      <c r="D49" t="s">
        <v>29</v>
      </c>
      <c r="E49" s="1">
        <v>43958</v>
      </c>
      <c r="F49" s="1">
        <v>45062</v>
      </c>
      <c r="G49" s="1">
        <v>45068</v>
      </c>
      <c r="I49" t="str">
        <v>CUST</v>
      </c>
      <c r="J49" t="str">
        <v>1048</v>
      </c>
      <c r="K49" t="str">
        <v>Anita Sharma</v>
      </c>
      <c r="L49" t="str">
        <v>Furniture</v>
      </c>
      <c r="M49" t="str">
        <v>West</v>
      </c>
      <c r="N49">
        <f t="shared" si="0"/>
        <v>6</v>
      </c>
      <c r="O49" t="str">
        <f t="shared" si="1"/>
        <v>Delayed</v>
      </c>
      <c r="P49">
        <f t="shared" ca="1" si="2"/>
        <v>5</v>
      </c>
      <c r="Q49">
        <f t="shared" si="3"/>
        <v>5</v>
      </c>
    </row>
    <row r="50" spans="1:17" x14ac:dyDescent="0.3">
      <c r="A50" t="s">
        <v>70</v>
      </c>
      <c r="B50" t="s">
        <v>18</v>
      </c>
      <c r="C50" t="s">
        <v>9</v>
      </c>
      <c r="D50" t="s">
        <v>22</v>
      </c>
      <c r="E50" s="1">
        <v>43834</v>
      </c>
      <c r="F50" s="1">
        <v>45050</v>
      </c>
      <c r="G50" s="1">
        <v>45051</v>
      </c>
      <c r="I50" t="str">
        <v>CUST</v>
      </c>
      <c r="J50" t="str">
        <v>1049</v>
      </c>
      <c r="K50" t="str">
        <v>John Doe</v>
      </c>
      <c r="L50" t="str">
        <v>Furniture</v>
      </c>
      <c r="M50" t="str">
        <v>North</v>
      </c>
      <c r="N50">
        <f t="shared" si="0"/>
        <v>1</v>
      </c>
      <c r="O50" t="str">
        <f t="shared" si="1"/>
        <v>On time</v>
      </c>
      <c r="P50">
        <f t="shared" ca="1" si="2"/>
        <v>6</v>
      </c>
      <c r="Q50">
        <f t="shared" si="3"/>
        <v>5</v>
      </c>
    </row>
    <row r="51" spans="1:17" x14ac:dyDescent="0.3">
      <c r="A51" t="s">
        <v>71</v>
      </c>
      <c r="B51" t="s">
        <v>8</v>
      </c>
      <c r="C51" t="s">
        <v>21</v>
      </c>
      <c r="D51" t="s">
        <v>10</v>
      </c>
      <c r="E51" s="1">
        <v>44356</v>
      </c>
      <c r="F51" s="1">
        <v>45123</v>
      </c>
      <c r="G51" s="1">
        <v>45125</v>
      </c>
      <c r="I51" t="str">
        <v>CUST</v>
      </c>
      <c r="J51" t="str">
        <v>1050</v>
      </c>
      <c r="K51" t="str">
        <v>Anita Sharma</v>
      </c>
      <c r="L51" t="str">
        <v>Electronics</v>
      </c>
      <c r="M51" t="str">
        <v>North</v>
      </c>
      <c r="N51">
        <f t="shared" si="0"/>
        <v>2</v>
      </c>
      <c r="O51" t="str">
        <f t="shared" si="1"/>
        <v>On time</v>
      </c>
      <c r="P51">
        <f t="shared" ca="1" si="2"/>
        <v>4</v>
      </c>
      <c r="Q51">
        <f t="shared" si="3"/>
        <v>7</v>
      </c>
    </row>
  </sheetData>
  <autoFilter ref="I1:Q51" xr:uid="{093DE3E1-A827-4BB9-AFBC-7447731C152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AA613-B420-4CEE-94F0-0029AD110AB5}">
  <dimension ref="A1:O44"/>
  <sheetViews>
    <sheetView tabSelected="1" zoomScaleNormal="100" zoomScaleSheetLayoutView="98" workbookViewId="0">
      <selection activeCell="G5" sqref="G5:I5"/>
    </sheetView>
  </sheetViews>
  <sheetFormatPr defaultRowHeight="14.4" x14ac:dyDescent="0.3"/>
  <cols>
    <col min="1" max="1" width="12.5546875" bestFit="1" customWidth="1"/>
    <col min="2" max="2" width="14.109375" bestFit="1" customWidth="1"/>
    <col min="5" max="5" width="9.88671875" bestFit="1" customWidth="1"/>
    <col min="6" max="6" width="6.44140625" bestFit="1" customWidth="1"/>
    <col min="7" max="7" width="12.5546875" bestFit="1" customWidth="1"/>
    <col min="9" max="9" width="12.5546875" bestFit="1" customWidth="1"/>
    <col min="10" max="10" width="14.109375" bestFit="1" customWidth="1"/>
  </cols>
  <sheetData>
    <row r="1" spans="1:15" x14ac:dyDescent="0.3">
      <c r="A1" s="10" t="s">
        <v>101</v>
      </c>
      <c r="B1" s="10"/>
      <c r="C1" s="10"/>
      <c r="D1" s="10"/>
      <c r="E1" s="10"/>
      <c r="F1" s="10"/>
      <c r="G1" s="10"/>
      <c r="H1" s="10"/>
      <c r="I1" s="10"/>
      <c r="J1" s="10"/>
      <c r="K1" s="10"/>
      <c r="L1" s="10"/>
      <c r="M1" s="10"/>
      <c r="N1" s="10"/>
      <c r="O1" s="10"/>
    </row>
    <row r="2" spans="1:15" x14ac:dyDescent="0.3">
      <c r="A2" s="10" t="s">
        <v>106</v>
      </c>
      <c r="B2" s="10"/>
      <c r="C2" s="10"/>
      <c r="D2" s="10"/>
      <c r="E2" s="10"/>
      <c r="F2" s="10"/>
      <c r="G2" s="10"/>
      <c r="H2" s="10"/>
      <c r="I2" s="10"/>
      <c r="J2" s="10"/>
      <c r="K2" s="10"/>
      <c r="L2" s="10"/>
      <c r="M2" s="10"/>
      <c r="N2" s="10"/>
      <c r="O2" s="10"/>
    </row>
    <row r="3" spans="1:15" x14ac:dyDescent="0.3">
      <c r="A3" s="11" t="s">
        <v>105</v>
      </c>
      <c r="B3" s="11"/>
      <c r="C3" s="11"/>
      <c r="D3" s="11"/>
      <c r="E3" s="11"/>
      <c r="F3" s="11"/>
      <c r="G3" s="11"/>
      <c r="H3" s="11"/>
      <c r="I3" s="11"/>
      <c r="J3" s="11"/>
      <c r="K3" s="11"/>
      <c r="L3" s="11"/>
      <c r="M3" s="11"/>
      <c r="N3" s="11"/>
      <c r="O3" s="11"/>
    </row>
    <row r="4" spans="1:15" x14ac:dyDescent="0.3">
      <c r="A4" s="12" t="s">
        <v>81</v>
      </c>
      <c r="B4" s="12"/>
      <c r="C4" s="12"/>
      <c r="D4" s="12" t="s">
        <v>82</v>
      </c>
      <c r="E4" s="12"/>
      <c r="F4" s="12"/>
      <c r="G4" s="12" t="s">
        <v>83</v>
      </c>
      <c r="H4" s="12"/>
      <c r="I4" s="12"/>
      <c r="J4" s="12" t="s">
        <v>84</v>
      </c>
      <c r="K4" s="12"/>
      <c r="L4" s="12"/>
      <c r="M4" s="12" t="s">
        <v>85</v>
      </c>
      <c r="N4" s="12"/>
      <c r="O4" s="12"/>
    </row>
    <row r="5" spans="1:15" x14ac:dyDescent="0.3">
      <c r="A5" s="12">
        <f>COUNTA(_xlfn.ANCHORARRAY(excel_practice_dataset!J2))</f>
        <v>50</v>
      </c>
      <c r="B5" s="12"/>
      <c r="C5" s="12"/>
      <c r="D5" s="13">
        <f>COUNTIF(excel_practice_dataset!O2:O51, "Delayed")</f>
        <v>23</v>
      </c>
      <c r="E5" s="13"/>
      <c r="F5" s="13"/>
      <c r="G5" s="14">
        <f>COUNTIF(excel_practice_dataset!O2:O51, "Delayed")/COUNTA(excel_practice_dataset!J2:J51)</f>
        <v>0.46</v>
      </c>
      <c r="H5" s="14"/>
      <c r="I5" s="14"/>
      <c r="J5" s="15">
        <f>AVERAGE(excel_practice_dataset!N2:N51)</f>
        <v>4.0599999999999996</v>
      </c>
      <c r="K5" s="15"/>
      <c r="L5" s="15"/>
      <c r="M5" s="12">
        <f ca="1">AVERAGE(excel_practice_dataset!P2:P51)</f>
        <v>4.5</v>
      </c>
      <c r="N5" s="12"/>
      <c r="O5" s="12"/>
    </row>
    <row r="6" spans="1:15" ht="23.4" x14ac:dyDescent="0.45">
      <c r="A6" s="9" t="s">
        <v>107</v>
      </c>
      <c r="B6" s="9"/>
      <c r="C6" s="9"/>
      <c r="D6" s="9"/>
      <c r="E6" s="9"/>
      <c r="F6" s="9"/>
    </row>
    <row r="7" spans="1:15" x14ac:dyDescent="0.3">
      <c r="A7" s="8" t="s">
        <v>108</v>
      </c>
      <c r="B7" s="8"/>
      <c r="C7" s="8"/>
      <c r="D7" s="8"/>
      <c r="E7" s="8"/>
      <c r="F7" s="8"/>
      <c r="G7" s="7"/>
    </row>
    <row r="8" spans="1:15" x14ac:dyDescent="0.3">
      <c r="A8" s="8" t="s">
        <v>111</v>
      </c>
      <c r="B8" s="8"/>
      <c r="C8" s="8"/>
      <c r="D8" s="8"/>
      <c r="E8" s="8"/>
      <c r="F8" s="8"/>
    </row>
    <row r="9" spans="1:15" x14ac:dyDescent="0.3">
      <c r="A9" s="8" t="s">
        <v>112</v>
      </c>
      <c r="B9" s="8"/>
      <c r="C9" s="8"/>
      <c r="D9" s="8"/>
      <c r="E9" s="8"/>
      <c r="F9" s="8"/>
    </row>
    <row r="10" spans="1:15" x14ac:dyDescent="0.3">
      <c r="A10" s="8" t="s">
        <v>109</v>
      </c>
      <c r="B10" s="8"/>
      <c r="C10" s="8"/>
      <c r="D10" s="8"/>
      <c r="E10" s="8"/>
      <c r="F10" s="8"/>
    </row>
    <row r="11" spans="1:15" x14ac:dyDescent="0.3">
      <c r="A11" s="8" t="s">
        <v>110</v>
      </c>
      <c r="B11" s="8"/>
      <c r="C11" s="8"/>
      <c r="D11" s="8"/>
      <c r="E11" s="8"/>
      <c r="F11" s="8"/>
    </row>
    <row r="12" spans="1:15" x14ac:dyDescent="0.3">
      <c r="A12" s="6"/>
      <c r="B12" s="6"/>
      <c r="C12" s="6"/>
      <c r="D12" s="6"/>
      <c r="E12" s="6"/>
      <c r="F12" s="6"/>
    </row>
    <row r="13" spans="1:15" x14ac:dyDescent="0.3">
      <c r="A13" s="3" t="s">
        <v>3</v>
      </c>
      <c r="B13" s="3" t="s">
        <v>86</v>
      </c>
      <c r="E13" s="3" t="s">
        <v>91</v>
      </c>
      <c r="F13" s="3" t="s">
        <v>86</v>
      </c>
      <c r="I13" s="3" t="s">
        <v>94</v>
      </c>
      <c r="J13" s="3" t="s">
        <v>86</v>
      </c>
      <c r="M13" s="3" t="s">
        <v>97</v>
      </c>
      <c r="N13" s="3" t="s">
        <v>86</v>
      </c>
    </row>
    <row r="14" spans="1:15" x14ac:dyDescent="0.3">
      <c r="A14" t="s">
        <v>87</v>
      </c>
      <c r="B14">
        <f>COUNTIF(_xlfn.ANCHORARRAY(excel_practice_dataset!M2), "North")</f>
        <v>23</v>
      </c>
      <c r="E14" t="s">
        <v>21</v>
      </c>
      <c r="F14">
        <f>COUNTIF(_xlfn.ANCHORARRAY(excel_practice_dataset!L2), "Electronics")</f>
        <v>20</v>
      </c>
      <c r="I14" t="s">
        <v>95</v>
      </c>
      <c r="J14">
        <f>COUNTIF(excel_practice_dataset!O2:O51, "Delayed")</f>
        <v>23</v>
      </c>
      <c r="M14">
        <v>1</v>
      </c>
      <c r="N14">
        <f>COUNTIF(excel_practice_dataset!Q2:Q51, "1")</f>
        <v>6</v>
      </c>
    </row>
    <row r="15" spans="1:15" x14ac:dyDescent="0.3">
      <c r="A15" t="s">
        <v>88</v>
      </c>
      <c r="B15">
        <f>COUNTIF(_xlfn.ANCHORARRAY(excel_practice_dataset!M2), "South")</f>
        <v>8</v>
      </c>
      <c r="E15" t="s">
        <v>92</v>
      </c>
      <c r="F15">
        <f>COUNTIF(_xlfn.ANCHORARRAY(excel_practice_dataset!L2), "Furniture")</f>
        <v>25</v>
      </c>
      <c r="I15" t="s">
        <v>96</v>
      </c>
      <c r="J15">
        <f>COUNTIF(excel_practice_dataset!O2:O51, "On time")</f>
        <v>27</v>
      </c>
      <c r="M15">
        <v>2</v>
      </c>
      <c r="N15">
        <f>COUNTIF(excel_practice_dataset!Q2:Q51, "2")</f>
        <v>4</v>
      </c>
    </row>
    <row r="16" spans="1:15" x14ac:dyDescent="0.3">
      <c r="A16" t="s">
        <v>89</v>
      </c>
      <c r="B16">
        <f>COUNTIF(_xlfn.ANCHORARRAY(excel_practice_dataset!M2), "East")</f>
        <v>13</v>
      </c>
      <c r="E16" t="s">
        <v>93</v>
      </c>
      <c r="F16">
        <f>COUNTIF(_xlfn.ANCHORARRAY(excel_practice_dataset!L2), "Clothing")</f>
        <v>5</v>
      </c>
      <c r="M16">
        <v>3</v>
      </c>
      <c r="N16">
        <f>COUNTIF(excel_practice_dataset!Q2:Q51, "3")</f>
        <v>4</v>
      </c>
    </row>
    <row r="17" spans="1:14" x14ac:dyDescent="0.3">
      <c r="A17" t="s">
        <v>90</v>
      </c>
      <c r="B17">
        <f>COUNTIF(_xlfn.ANCHORARRAY(excel_practice_dataset!M2), "West")</f>
        <v>6</v>
      </c>
      <c r="M17">
        <v>4</v>
      </c>
      <c r="N17">
        <f>COUNTIF(excel_practice_dataset!Q2:Q51, "4")</f>
        <v>2</v>
      </c>
    </row>
    <row r="18" spans="1:14" x14ac:dyDescent="0.3">
      <c r="M18">
        <v>5</v>
      </c>
      <c r="N18">
        <f>COUNTIF(excel_practice_dataset!Q2:Q51, "5")</f>
        <v>5</v>
      </c>
    </row>
    <row r="19" spans="1:14" x14ac:dyDescent="0.3">
      <c r="M19">
        <v>6</v>
      </c>
      <c r="N19">
        <f>COUNTIF(excel_practice_dataset!Q2:Q51, "6")</f>
        <v>5</v>
      </c>
    </row>
    <row r="20" spans="1:14" x14ac:dyDescent="0.3">
      <c r="A20" s="4" t="s">
        <v>98</v>
      </c>
      <c r="B20" t="s">
        <v>100</v>
      </c>
      <c r="I20" s="4" t="s">
        <v>98</v>
      </c>
      <c r="J20" t="s">
        <v>103</v>
      </c>
      <c r="M20">
        <v>7</v>
      </c>
      <c r="N20">
        <f>COUNTIF(excel_practice_dataset!Q2:Q51, "7")</f>
        <v>3</v>
      </c>
    </row>
    <row r="21" spans="1:14" x14ac:dyDescent="0.3">
      <c r="A21" s="5" t="s">
        <v>89</v>
      </c>
      <c r="B21" s="16">
        <v>13</v>
      </c>
      <c r="I21" s="5" t="s">
        <v>93</v>
      </c>
      <c r="J21" s="16">
        <v>5</v>
      </c>
      <c r="M21">
        <v>8</v>
      </c>
      <c r="N21">
        <f>COUNTIF(excel_practice_dataset!Q2:Q51, "8")</f>
        <v>3</v>
      </c>
    </row>
    <row r="22" spans="1:14" x14ac:dyDescent="0.3">
      <c r="A22" s="5" t="s">
        <v>87</v>
      </c>
      <c r="B22" s="16">
        <v>23</v>
      </c>
      <c r="I22" s="5" t="s">
        <v>21</v>
      </c>
      <c r="J22" s="16">
        <v>20</v>
      </c>
      <c r="M22">
        <v>9</v>
      </c>
      <c r="N22">
        <f>COUNTIF(excel_practice_dataset!Q2:Q51, "9")</f>
        <v>7</v>
      </c>
    </row>
    <row r="23" spans="1:14" x14ac:dyDescent="0.3">
      <c r="A23" s="5" t="s">
        <v>88</v>
      </c>
      <c r="B23" s="16">
        <v>8</v>
      </c>
      <c r="I23" s="5" t="s">
        <v>92</v>
      </c>
      <c r="J23" s="16">
        <v>25</v>
      </c>
      <c r="M23">
        <v>10</v>
      </c>
      <c r="N23">
        <f>COUNTIF(excel_practice_dataset!Q2:Q51, "10")</f>
        <v>2</v>
      </c>
    </row>
    <row r="24" spans="1:14" x14ac:dyDescent="0.3">
      <c r="A24" s="5" t="s">
        <v>90</v>
      </c>
      <c r="B24" s="16">
        <v>6</v>
      </c>
      <c r="I24" s="5" t="s">
        <v>102</v>
      </c>
      <c r="J24" s="16"/>
      <c r="M24">
        <v>11</v>
      </c>
      <c r="N24">
        <f>COUNTIF(excel_practice_dataset!Q2:Q51, "11")</f>
        <v>5</v>
      </c>
    </row>
    <row r="25" spans="1:14" x14ac:dyDescent="0.3">
      <c r="A25" s="5" t="s">
        <v>102</v>
      </c>
      <c r="B25" s="16"/>
      <c r="I25" s="5" t="s">
        <v>99</v>
      </c>
      <c r="J25" s="16">
        <v>50</v>
      </c>
      <c r="M25">
        <v>12</v>
      </c>
      <c r="N25">
        <f>COUNTIF(excel_practice_dataset!Q2:Q51, "12")</f>
        <v>4</v>
      </c>
    </row>
    <row r="26" spans="1:14" x14ac:dyDescent="0.3">
      <c r="A26" s="5" t="s">
        <v>99</v>
      </c>
      <c r="B26" s="16">
        <v>50</v>
      </c>
    </row>
    <row r="31" spans="1:14" x14ac:dyDescent="0.3">
      <c r="A31" s="4" t="s">
        <v>98</v>
      </c>
      <c r="B31" t="s">
        <v>104</v>
      </c>
      <c r="I31" s="4" t="s">
        <v>98</v>
      </c>
      <c r="J31" t="s">
        <v>100</v>
      </c>
    </row>
    <row r="32" spans="1:14" x14ac:dyDescent="0.3">
      <c r="A32" s="5" t="s">
        <v>95</v>
      </c>
      <c r="B32" s="16">
        <v>23</v>
      </c>
      <c r="I32" s="5">
        <v>1</v>
      </c>
      <c r="J32">
        <v>6</v>
      </c>
    </row>
    <row r="33" spans="1:10" x14ac:dyDescent="0.3">
      <c r="A33" s="5" t="s">
        <v>96</v>
      </c>
      <c r="B33" s="16">
        <v>27</v>
      </c>
      <c r="I33" s="5">
        <v>2</v>
      </c>
      <c r="J33">
        <v>4</v>
      </c>
    </row>
    <row r="34" spans="1:10" x14ac:dyDescent="0.3">
      <c r="A34" s="5" t="s">
        <v>102</v>
      </c>
      <c r="B34" s="16"/>
      <c r="I34" s="5">
        <v>3</v>
      </c>
      <c r="J34">
        <v>4</v>
      </c>
    </row>
    <row r="35" spans="1:10" x14ac:dyDescent="0.3">
      <c r="A35" s="5" t="s">
        <v>99</v>
      </c>
      <c r="B35" s="16">
        <v>50</v>
      </c>
      <c r="I35" s="5">
        <v>4</v>
      </c>
      <c r="J35">
        <v>2</v>
      </c>
    </row>
    <row r="36" spans="1:10" x14ac:dyDescent="0.3">
      <c r="I36" s="5">
        <v>5</v>
      </c>
      <c r="J36">
        <v>5</v>
      </c>
    </row>
    <row r="37" spans="1:10" x14ac:dyDescent="0.3">
      <c r="I37" s="5">
        <v>6</v>
      </c>
      <c r="J37">
        <v>5</v>
      </c>
    </row>
    <row r="38" spans="1:10" x14ac:dyDescent="0.3">
      <c r="I38" s="5">
        <v>7</v>
      </c>
      <c r="J38">
        <v>3</v>
      </c>
    </row>
    <row r="39" spans="1:10" x14ac:dyDescent="0.3">
      <c r="I39" s="5">
        <v>8</v>
      </c>
      <c r="J39">
        <v>3</v>
      </c>
    </row>
    <row r="40" spans="1:10" x14ac:dyDescent="0.3">
      <c r="I40" s="5">
        <v>9</v>
      </c>
      <c r="J40">
        <v>7</v>
      </c>
    </row>
    <row r="41" spans="1:10" x14ac:dyDescent="0.3">
      <c r="I41" s="5">
        <v>10</v>
      </c>
      <c r="J41">
        <v>2</v>
      </c>
    </row>
    <row r="42" spans="1:10" x14ac:dyDescent="0.3">
      <c r="I42" s="5">
        <v>11</v>
      </c>
      <c r="J42">
        <v>5</v>
      </c>
    </row>
    <row r="43" spans="1:10" x14ac:dyDescent="0.3">
      <c r="I43" s="5">
        <v>12</v>
      </c>
      <c r="J43">
        <v>4</v>
      </c>
    </row>
    <row r="44" spans="1:10" x14ac:dyDescent="0.3">
      <c r="I44" s="5" t="s">
        <v>99</v>
      </c>
      <c r="J44">
        <v>50</v>
      </c>
    </row>
  </sheetData>
  <mergeCells count="19">
    <mergeCell ref="A5:C5"/>
    <mergeCell ref="D5:F5"/>
    <mergeCell ref="G5:I5"/>
    <mergeCell ref="J5:L5"/>
    <mergeCell ref="M5:O5"/>
    <mergeCell ref="A1:O1"/>
    <mergeCell ref="A2:O2"/>
    <mergeCell ref="A3:O3"/>
    <mergeCell ref="A4:C4"/>
    <mergeCell ref="D4:F4"/>
    <mergeCell ref="G4:I4"/>
    <mergeCell ref="J4:L4"/>
    <mergeCell ref="M4:O4"/>
    <mergeCell ref="A8:F8"/>
    <mergeCell ref="A10:F10"/>
    <mergeCell ref="A11:F11"/>
    <mergeCell ref="A6:F6"/>
    <mergeCell ref="A7:F7"/>
    <mergeCell ref="A9:F9"/>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excel_practice_dataset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Sourabh Mathur</cp:lastModifiedBy>
  <dcterms:created xsi:type="dcterms:W3CDTF">2026-03-24T07:05:05Z</dcterms:created>
  <dcterms:modified xsi:type="dcterms:W3CDTF">2026-03-26T18:00:04Z</dcterms:modified>
</cp:coreProperties>
</file>